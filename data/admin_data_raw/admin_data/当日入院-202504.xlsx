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21" documentId="11_317BA265957AAA6042840C7EEF07CE9E00017D04" xr6:coauthVersionLast="47" xr6:coauthVersionMax="47" xr10:uidLastSave="{1A031B14-10B7-421D-8490-DCC624A1D028}"/>
  <bookViews>
    <workbookView xWindow="-120" yWindow="-120" windowWidth="29040" windowHeight="15720" xr2:uid="{00000000-000D-0000-FFFF-FFFF00000000}"/>
  </bookViews>
  <sheets>
    <sheet name="クエリ_オーダ_移動【2025年4月】" sheetId="1" r:id="rId1"/>
  </sheets>
  <definedNames>
    <definedName name="_xlnm._FilterDatabase" localSheetId="0" hidden="1">クエリ_オーダ_移動【2025年4月】!$A$1:$L$144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2" i="1"/>
  <c r="J119" i="1" l="1"/>
  <c r="I49" i="1"/>
  <c r="I85" i="1"/>
  <c r="I37" i="1"/>
  <c r="J108" i="1"/>
  <c r="J60" i="1"/>
  <c r="J12" i="1"/>
  <c r="J59" i="1"/>
  <c r="J23" i="1"/>
  <c r="J142" i="1"/>
  <c r="J130" i="1"/>
  <c r="J118" i="1"/>
  <c r="J106" i="1"/>
  <c r="J94" i="1"/>
  <c r="J82" i="1"/>
  <c r="J70" i="1"/>
  <c r="J58" i="1"/>
  <c r="J46" i="1"/>
  <c r="J34" i="1"/>
  <c r="J22" i="1"/>
  <c r="J10" i="1"/>
  <c r="J141" i="1"/>
  <c r="J129" i="1"/>
  <c r="J117" i="1"/>
  <c r="J105" i="1"/>
  <c r="J93" i="1"/>
  <c r="J81" i="1"/>
  <c r="J69" i="1"/>
  <c r="J57" i="1"/>
  <c r="J45" i="1"/>
  <c r="J33" i="1"/>
  <c r="J21" i="1"/>
  <c r="J9" i="1"/>
  <c r="J140" i="1"/>
  <c r="J128" i="1"/>
  <c r="J116" i="1"/>
  <c r="J104" i="1"/>
  <c r="J92" i="1"/>
  <c r="J80" i="1"/>
  <c r="J68" i="1"/>
  <c r="J56" i="1"/>
  <c r="J44" i="1"/>
  <c r="J32" i="1"/>
  <c r="J20" i="1"/>
  <c r="J8" i="1"/>
  <c r="J120" i="1"/>
  <c r="J72" i="1"/>
  <c r="J24" i="1"/>
  <c r="J95" i="1"/>
  <c r="J71" i="1"/>
  <c r="J11" i="1"/>
  <c r="I137" i="1"/>
  <c r="I125" i="1"/>
  <c r="I113" i="1"/>
  <c r="I101" i="1"/>
  <c r="I89" i="1"/>
  <c r="I77" i="1"/>
  <c r="I65" i="1"/>
  <c r="I53" i="1"/>
  <c r="I41" i="1"/>
  <c r="I29" i="1"/>
  <c r="I17" i="1"/>
  <c r="I5" i="1"/>
  <c r="J144" i="1"/>
  <c r="J96" i="1"/>
  <c r="J48" i="1"/>
  <c r="J107" i="1"/>
  <c r="J47" i="1"/>
  <c r="J132" i="1"/>
  <c r="J84" i="1"/>
  <c r="J36" i="1"/>
  <c r="I121" i="1"/>
  <c r="I109" i="1"/>
  <c r="I97" i="1"/>
  <c r="I61" i="1"/>
  <c r="I13" i="1"/>
  <c r="I139" i="1"/>
  <c r="I127" i="1"/>
  <c r="I115" i="1"/>
  <c r="J103" i="1"/>
  <c r="I91" i="1"/>
  <c r="I79" i="1"/>
  <c r="J67" i="1"/>
  <c r="I55" i="1"/>
  <c r="I43" i="1"/>
  <c r="I31" i="1"/>
  <c r="I19" i="1"/>
  <c r="I7" i="1"/>
  <c r="J41" i="1"/>
  <c r="J89" i="1"/>
  <c r="J138" i="1"/>
  <c r="J126" i="1"/>
  <c r="J114" i="1"/>
  <c r="J102" i="1"/>
  <c r="J90" i="1"/>
  <c r="J78" i="1"/>
  <c r="J66" i="1"/>
  <c r="J54" i="1"/>
  <c r="J42" i="1"/>
  <c r="J30" i="1"/>
  <c r="J18" i="1"/>
  <c r="J6" i="1"/>
  <c r="J100" i="1"/>
  <c r="J28" i="1"/>
  <c r="J5" i="1"/>
  <c r="J53" i="1"/>
  <c r="J101" i="1"/>
  <c r="J136" i="1"/>
  <c r="J88" i="1"/>
  <c r="J40" i="1"/>
  <c r="J123" i="1"/>
  <c r="J87" i="1"/>
  <c r="J39" i="1"/>
  <c r="J3" i="1"/>
  <c r="J124" i="1"/>
  <c r="J64" i="1"/>
  <c r="J16" i="1"/>
  <c r="J99" i="1"/>
  <c r="J63" i="1"/>
  <c r="J27" i="1"/>
  <c r="J134" i="1"/>
  <c r="J110" i="1"/>
  <c r="J86" i="1"/>
  <c r="J50" i="1"/>
  <c r="J26" i="1"/>
  <c r="J112" i="1"/>
  <c r="J76" i="1"/>
  <c r="J52" i="1"/>
  <c r="J4" i="1"/>
  <c r="J135" i="1"/>
  <c r="J111" i="1"/>
  <c r="J75" i="1"/>
  <c r="J51" i="1"/>
  <c r="J15" i="1"/>
  <c r="J122" i="1"/>
  <c r="J98" i="1"/>
  <c r="J74" i="1"/>
  <c r="J62" i="1"/>
  <c r="J38" i="1"/>
  <c r="J14" i="1"/>
  <c r="J2" i="1"/>
  <c r="J133" i="1"/>
  <c r="J121" i="1"/>
  <c r="J109" i="1"/>
  <c r="J97" i="1"/>
  <c r="J85" i="1"/>
  <c r="J73" i="1"/>
  <c r="J61" i="1"/>
  <c r="J49" i="1"/>
  <c r="J37" i="1"/>
  <c r="J25" i="1"/>
  <c r="J13" i="1"/>
  <c r="J17" i="1"/>
  <c r="J65" i="1"/>
  <c r="J113" i="1"/>
  <c r="J143" i="1"/>
  <c r="J131" i="1"/>
  <c r="I119" i="1"/>
  <c r="I107" i="1"/>
  <c r="I95" i="1"/>
  <c r="I83" i="1"/>
  <c r="I71" i="1"/>
  <c r="I59" i="1"/>
  <c r="I47" i="1"/>
  <c r="I35" i="1"/>
  <c r="I23" i="1"/>
  <c r="I11" i="1"/>
  <c r="I25" i="1"/>
  <c r="I73" i="1"/>
  <c r="J125" i="1"/>
  <c r="J29" i="1"/>
  <c r="J77" i="1"/>
  <c r="I133" i="1"/>
  <c r="J35" i="1"/>
  <c r="J83" i="1"/>
  <c r="J137" i="1"/>
  <c r="I67" i="1"/>
  <c r="I103" i="1"/>
  <c r="J7" i="1"/>
  <c r="J19" i="1"/>
  <c r="J31" i="1"/>
  <c r="J43" i="1"/>
  <c r="J55" i="1"/>
  <c r="J79" i="1"/>
  <c r="J91" i="1"/>
  <c r="J115" i="1"/>
  <c r="J127" i="1"/>
  <c r="J139" i="1"/>
  <c r="I2" i="1"/>
  <c r="I8" i="1"/>
  <c r="I14" i="1"/>
  <c r="I20" i="1"/>
  <c r="I26" i="1"/>
  <c r="I32" i="1"/>
  <c r="I38" i="1"/>
  <c r="I44" i="1"/>
  <c r="I50" i="1"/>
  <c r="I56" i="1"/>
  <c r="I62" i="1"/>
  <c r="I68" i="1"/>
  <c r="I74" i="1"/>
  <c r="I80" i="1"/>
  <c r="I86" i="1"/>
  <c r="I92" i="1"/>
  <c r="I98" i="1"/>
  <c r="I104" i="1"/>
  <c r="I110" i="1"/>
  <c r="I116" i="1"/>
  <c r="I122" i="1"/>
  <c r="I128" i="1"/>
  <c r="I134" i="1"/>
  <c r="I140" i="1"/>
  <c r="I3" i="1"/>
  <c r="I9" i="1"/>
  <c r="I15" i="1"/>
  <c r="I21" i="1"/>
  <c r="I27" i="1"/>
  <c r="I33" i="1"/>
  <c r="I39" i="1"/>
  <c r="I45" i="1"/>
  <c r="I51" i="1"/>
  <c r="I57" i="1"/>
  <c r="I63" i="1"/>
  <c r="I69" i="1"/>
  <c r="I75" i="1"/>
  <c r="I81" i="1"/>
  <c r="I87" i="1"/>
  <c r="I93" i="1"/>
  <c r="I99" i="1"/>
  <c r="I105" i="1"/>
  <c r="I111" i="1"/>
  <c r="I117" i="1"/>
  <c r="I123" i="1"/>
  <c r="I129" i="1"/>
  <c r="I135" i="1"/>
  <c r="I141" i="1"/>
  <c r="I4" i="1"/>
  <c r="I10" i="1"/>
  <c r="I16" i="1"/>
  <c r="I22" i="1"/>
  <c r="I28" i="1"/>
  <c r="I34" i="1"/>
  <c r="I40" i="1"/>
  <c r="I46" i="1"/>
  <c r="I52" i="1"/>
  <c r="I58" i="1"/>
  <c r="I64" i="1"/>
  <c r="I70" i="1"/>
  <c r="I76" i="1"/>
  <c r="I82" i="1"/>
  <c r="I88" i="1"/>
  <c r="I94" i="1"/>
  <c r="I100" i="1"/>
  <c r="I106" i="1"/>
  <c r="I112" i="1"/>
  <c r="I118" i="1"/>
  <c r="I124" i="1"/>
  <c r="I130" i="1"/>
  <c r="I136" i="1"/>
  <c r="I142" i="1"/>
  <c r="I131" i="1"/>
  <c r="I143" i="1"/>
  <c r="I6" i="1"/>
  <c r="I12" i="1"/>
  <c r="I18" i="1"/>
  <c r="I24" i="1"/>
  <c r="I30" i="1"/>
  <c r="I36" i="1"/>
  <c r="I42" i="1"/>
  <c r="I48" i="1"/>
  <c r="I54" i="1"/>
  <c r="I60" i="1"/>
  <c r="I66" i="1"/>
  <c r="I72" i="1"/>
  <c r="I78" i="1"/>
  <c r="I84" i="1"/>
  <c r="I90" i="1"/>
  <c r="I96" i="1"/>
  <c r="I102" i="1"/>
  <c r="I108" i="1"/>
  <c r="I114" i="1"/>
  <c r="I120" i="1"/>
  <c r="I126" i="1"/>
  <c r="I132" i="1"/>
  <c r="I138" i="1"/>
  <c r="I144" i="1"/>
  <c r="J1" i="1" l="1"/>
  <c r="I1" i="1"/>
</calcChain>
</file>

<file path=xl/sharedStrings.xml><?xml version="1.0" encoding="utf-8"?>
<sst xmlns="http://schemas.openxmlformats.org/spreadsheetml/2006/main" count="150" uniqueCount="6">
  <si>
    <t>入院日</t>
  </si>
  <si>
    <t>登録日</t>
  </si>
  <si>
    <t>病棟名称</t>
  </si>
  <si>
    <t>患者年齢</t>
  </si>
  <si>
    <t>５Ｆ病棟</t>
  </si>
  <si>
    <t>６Ｆ病棟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</si>
</sst>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topLeftCell="B1" workbookViewId="0">
      <selection activeCell="I3" sqref="I3:I144"/>
    </sheetView>
  </sheetViews>
  <sheetFormatPr defaultRowHeight="13.5" x14ac:dyDescent="0.15"/>
  <cols>
    <col min="1" max="1" width="17.875" hidden="1" customWidth="1"/>
    <col min="2" max="2" width="17.875" customWidth="1"/>
    <col min="3" max="3" width="30.125" hidden="1" customWidth="1"/>
    <col min="4" max="4" width="14.25" customWidth="1"/>
    <col min="5" max="5" width="13.875" customWidth="1"/>
    <col min="6" max="6" width="13.875" hidden="1" customWidth="1"/>
    <col min="7" max="7" width="16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5" t="str">
        <f>"当日："&amp;COUNTIF(I2:I300,"○")&amp;"件"</f>
        <v>当日：92件</v>
      </c>
      <c r="J1" s="5" t="str">
        <f>"予定："&amp;COUNTIF(J2:J300,"○")&amp;"件"</f>
        <v>予定：51件</v>
      </c>
    </row>
    <row r="2" spans="1:10" x14ac:dyDescent="0.15">
      <c r="A2" s="2">
        <v>20250401100700</v>
      </c>
      <c r="B2" s="4" t="str">
        <f>MID(A2,1,8)</f>
        <v>20250401</v>
      </c>
      <c r="C2" s="2">
        <v>20250331103418</v>
      </c>
      <c r="D2" s="4" t="str">
        <f>MID(C2,1,8)</f>
        <v>20250331</v>
      </c>
      <c r="E2" s="3" t="s">
        <v>4</v>
      </c>
      <c r="F2" s="2">
        <v>720327</v>
      </c>
      <c r="G2" t="str">
        <f>MID(F2,1,2)&amp;"歳"&amp;MID(F2,3,2)&amp;"ヶ月"&amp;MID(F2,5,2)&amp;"日"</f>
        <v>72歳03ヶ月27日</v>
      </c>
      <c r="I2" s="6" t="str">
        <f>IF(B2=D2,"○","")</f>
        <v/>
      </c>
      <c r="J2" s="7" t="str">
        <f>IF(B2&lt;&gt;D2,"○","")</f>
        <v>○</v>
      </c>
    </row>
    <row r="3" spans="1:10" x14ac:dyDescent="0.15">
      <c r="A3" s="2">
        <v>20250401111800</v>
      </c>
      <c r="B3" s="4" t="str">
        <f t="shared" ref="B3:B66" si="0">MID(A3,1,8)</f>
        <v>20250401</v>
      </c>
      <c r="C3" s="2">
        <v>20250401102032</v>
      </c>
      <c r="D3" s="4" t="str">
        <f t="shared" ref="D3:D66" si="1">MID(C3,1,8)</f>
        <v>20250401</v>
      </c>
      <c r="E3" s="3" t="s">
        <v>4</v>
      </c>
      <c r="F3" s="2">
        <v>870109</v>
      </c>
      <c r="G3" t="str">
        <f t="shared" ref="G3:G66" si="2">MID(F3,1,2)&amp;"歳"&amp;MID(F3,3,2)&amp;"ヶ月"&amp;MID(F3,5,2)&amp;"日"</f>
        <v>87歳01ヶ月09日</v>
      </c>
      <c r="I3" s="6" t="str">
        <f t="shared" ref="I3:I66" si="3">IF(B3=D3,"○","")</f>
        <v>○</v>
      </c>
      <c r="J3" s="7" t="str">
        <f t="shared" ref="J3:J66" si="4">IF(B3&lt;&gt;D3,"○","")</f>
        <v/>
      </c>
    </row>
    <row r="4" spans="1:10" x14ac:dyDescent="0.15">
      <c r="A4" s="2">
        <v>20250401143700</v>
      </c>
      <c r="B4" s="4" t="str">
        <f t="shared" si="0"/>
        <v>20250401</v>
      </c>
      <c r="C4" s="2">
        <v>20250212143854</v>
      </c>
      <c r="D4" s="4" t="str">
        <f t="shared" si="1"/>
        <v>20250212</v>
      </c>
      <c r="E4" s="3" t="s">
        <v>5</v>
      </c>
      <c r="F4" s="2">
        <v>641126</v>
      </c>
      <c r="G4" t="str">
        <f t="shared" si="2"/>
        <v>64歳11ヶ月26日</v>
      </c>
      <c r="I4" s="6" t="str">
        <f t="shared" si="3"/>
        <v/>
      </c>
      <c r="J4" s="7" t="str">
        <f t="shared" si="4"/>
        <v>○</v>
      </c>
    </row>
    <row r="5" spans="1:10" x14ac:dyDescent="0.15">
      <c r="A5" s="2">
        <v>20250401144400</v>
      </c>
      <c r="B5" s="4" t="str">
        <f t="shared" si="0"/>
        <v>20250401</v>
      </c>
      <c r="C5" s="2">
        <v>20250312114838</v>
      </c>
      <c r="D5" s="4" t="str">
        <f t="shared" si="1"/>
        <v>20250312</v>
      </c>
      <c r="E5" s="3" t="s">
        <v>5</v>
      </c>
      <c r="F5" s="2">
        <v>430928</v>
      </c>
      <c r="G5" t="str">
        <f t="shared" si="2"/>
        <v>43歳09ヶ月28日</v>
      </c>
      <c r="I5" s="6" t="str">
        <f t="shared" si="3"/>
        <v/>
      </c>
      <c r="J5" s="7" t="str">
        <f t="shared" si="4"/>
        <v>○</v>
      </c>
    </row>
    <row r="6" spans="1:10" x14ac:dyDescent="0.15">
      <c r="A6" s="2">
        <v>20250401150200</v>
      </c>
      <c r="B6" s="4" t="str">
        <f t="shared" si="0"/>
        <v>20250401</v>
      </c>
      <c r="C6" s="2">
        <v>20250401140228</v>
      </c>
      <c r="D6" s="4" t="str">
        <f t="shared" si="1"/>
        <v>20250401</v>
      </c>
      <c r="E6" s="3" t="s">
        <v>5</v>
      </c>
      <c r="F6" s="2">
        <v>890522</v>
      </c>
      <c r="G6" t="str">
        <f t="shared" si="2"/>
        <v>89歳05ヶ月22日</v>
      </c>
      <c r="I6" s="6" t="str">
        <f t="shared" si="3"/>
        <v>○</v>
      </c>
      <c r="J6" s="7" t="str">
        <f t="shared" si="4"/>
        <v/>
      </c>
    </row>
    <row r="7" spans="1:10" x14ac:dyDescent="0.15">
      <c r="A7" s="2">
        <v>20250401154200</v>
      </c>
      <c r="B7" s="4" t="str">
        <f t="shared" si="0"/>
        <v>20250401</v>
      </c>
      <c r="C7" s="2">
        <v>20250212104135</v>
      </c>
      <c r="D7" s="4" t="str">
        <f t="shared" si="1"/>
        <v>20250212</v>
      </c>
      <c r="E7" s="3" t="s">
        <v>4</v>
      </c>
      <c r="F7" s="2">
        <v>740700</v>
      </c>
      <c r="G7" t="str">
        <f t="shared" si="2"/>
        <v>74歳07ヶ月00日</v>
      </c>
      <c r="I7" s="6" t="str">
        <f t="shared" si="3"/>
        <v/>
      </c>
      <c r="J7" s="7" t="str">
        <f t="shared" si="4"/>
        <v>○</v>
      </c>
    </row>
    <row r="8" spans="1:10" x14ac:dyDescent="0.15">
      <c r="A8" s="2">
        <v>20250402083400</v>
      </c>
      <c r="B8" s="4" t="str">
        <f t="shared" si="0"/>
        <v>20250402</v>
      </c>
      <c r="C8" s="2">
        <v>20250331155539</v>
      </c>
      <c r="D8" s="4" t="str">
        <f t="shared" si="1"/>
        <v>20250331</v>
      </c>
      <c r="E8" s="3" t="s">
        <v>4</v>
      </c>
      <c r="F8" s="2">
        <v>640128</v>
      </c>
      <c r="G8" t="str">
        <f t="shared" si="2"/>
        <v>64歳01ヶ月28日</v>
      </c>
      <c r="I8" s="6" t="str">
        <f t="shared" si="3"/>
        <v/>
      </c>
      <c r="J8" s="7" t="str">
        <f t="shared" si="4"/>
        <v>○</v>
      </c>
    </row>
    <row r="9" spans="1:10" x14ac:dyDescent="0.15">
      <c r="A9" s="2">
        <v>20250402085200</v>
      </c>
      <c r="B9" s="4" t="str">
        <f t="shared" si="0"/>
        <v>20250402</v>
      </c>
      <c r="C9" s="2">
        <v>20250401105414</v>
      </c>
      <c r="D9" s="4" t="str">
        <f t="shared" si="1"/>
        <v>20250401</v>
      </c>
      <c r="E9" s="3" t="s">
        <v>5</v>
      </c>
      <c r="F9" s="2">
        <v>750528</v>
      </c>
      <c r="G9" t="str">
        <f t="shared" si="2"/>
        <v>75歳05ヶ月28日</v>
      </c>
      <c r="I9" s="6" t="str">
        <f t="shared" si="3"/>
        <v/>
      </c>
      <c r="J9" s="7" t="str">
        <f t="shared" si="4"/>
        <v>○</v>
      </c>
    </row>
    <row r="10" spans="1:10" x14ac:dyDescent="0.15">
      <c r="A10" s="2">
        <v>20250402095100</v>
      </c>
      <c r="B10" s="4" t="str">
        <f t="shared" si="0"/>
        <v>20250402</v>
      </c>
      <c r="C10" s="2">
        <v>20250401160413</v>
      </c>
      <c r="D10" s="4" t="str">
        <f t="shared" si="1"/>
        <v>20250401</v>
      </c>
      <c r="E10" s="3" t="s">
        <v>5</v>
      </c>
      <c r="F10" s="2">
        <v>620201</v>
      </c>
      <c r="G10" t="str">
        <f t="shared" si="2"/>
        <v>62歳02ヶ月01日</v>
      </c>
      <c r="I10" s="6" t="str">
        <f t="shared" si="3"/>
        <v/>
      </c>
      <c r="J10" s="7" t="str">
        <f t="shared" si="4"/>
        <v>○</v>
      </c>
    </row>
    <row r="11" spans="1:10" x14ac:dyDescent="0.15">
      <c r="A11" s="2">
        <v>20250402100200</v>
      </c>
      <c r="B11" s="4" t="str">
        <f t="shared" si="0"/>
        <v>20250402</v>
      </c>
      <c r="C11" s="2">
        <v>20250326125413</v>
      </c>
      <c r="D11" s="4" t="str">
        <f t="shared" si="1"/>
        <v>20250326</v>
      </c>
      <c r="E11" s="3" t="s">
        <v>5</v>
      </c>
      <c r="F11" s="2">
        <v>650918</v>
      </c>
      <c r="G11" t="str">
        <f t="shared" si="2"/>
        <v>65歳09ヶ月18日</v>
      </c>
      <c r="I11" s="6" t="str">
        <f t="shared" si="3"/>
        <v/>
      </c>
      <c r="J11" s="7" t="str">
        <f t="shared" si="4"/>
        <v>○</v>
      </c>
    </row>
    <row r="12" spans="1:10" x14ac:dyDescent="0.15">
      <c r="A12" s="2">
        <v>20250402101400</v>
      </c>
      <c r="B12" s="4" t="str">
        <f t="shared" si="0"/>
        <v>20250402</v>
      </c>
      <c r="C12" s="2">
        <v>20250401164046</v>
      </c>
      <c r="D12" s="4" t="str">
        <f t="shared" si="1"/>
        <v>20250401</v>
      </c>
      <c r="E12" s="3" t="s">
        <v>4</v>
      </c>
      <c r="F12" s="2">
        <v>821023</v>
      </c>
      <c r="G12" t="str">
        <f t="shared" si="2"/>
        <v>82歳10ヶ月23日</v>
      </c>
      <c r="I12" s="6" t="str">
        <f t="shared" si="3"/>
        <v/>
      </c>
      <c r="J12" s="7" t="str">
        <f t="shared" si="4"/>
        <v>○</v>
      </c>
    </row>
    <row r="13" spans="1:10" x14ac:dyDescent="0.15">
      <c r="A13" s="2">
        <v>20250402133100</v>
      </c>
      <c r="B13" s="4" t="str">
        <f t="shared" si="0"/>
        <v>20250402</v>
      </c>
      <c r="C13" s="2">
        <v>20250402120503</v>
      </c>
      <c r="D13" s="4" t="str">
        <f t="shared" si="1"/>
        <v>20250402</v>
      </c>
      <c r="E13" s="3" t="s">
        <v>5</v>
      </c>
      <c r="F13" s="2">
        <v>880126</v>
      </c>
      <c r="G13" t="str">
        <f t="shared" si="2"/>
        <v>88歳01ヶ月26日</v>
      </c>
      <c r="I13" s="6" t="str">
        <f t="shared" si="3"/>
        <v>○</v>
      </c>
      <c r="J13" s="7" t="str">
        <f t="shared" si="4"/>
        <v/>
      </c>
    </row>
    <row r="14" spans="1:10" x14ac:dyDescent="0.15">
      <c r="A14" s="2">
        <v>20250403032000</v>
      </c>
      <c r="B14" s="4" t="str">
        <f t="shared" si="0"/>
        <v>20250403</v>
      </c>
      <c r="C14" s="2">
        <v>20250403030409</v>
      </c>
      <c r="D14" s="4" t="str">
        <f t="shared" si="1"/>
        <v>20250403</v>
      </c>
      <c r="E14" s="3" t="s">
        <v>5</v>
      </c>
      <c r="F14" s="2">
        <v>680125</v>
      </c>
      <c r="G14" t="str">
        <f t="shared" si="2"/>
        <v>68歳01ヶ月25日</v>
      </c>
      <c r="I14" s="6" t="str">
        <f t="shared" si="3"/>
        <v>○</v>
      </c>
      <c r="J14" s="7" t="str">
        <f t="shared" si="4"/>
        <v/>
      </c>
    </row>
    <row r="15" spans="1:10" x14ac:dyDescent="0.15">
      <c r="A15" s="2">
        <v>20250403102400</v>
      </c>
      <c r="B15" s="4" t="str">
        <f t="shared" si="0"/>
        <v>20250403</v>
      </c>
      <c r="C15" s="2">
        <v>20250402180925</v>
      </c>
      <c r="D15" s="4" t="str">
        <f t="shared" si="1"/>
        <v>20250402</v>
      </c>
      <c r="E15" s="3" t="s">
        <v>5</v>
      </c>
      <c r="F15" s="2">
        <v>360016</v>
      </c>
      <c r="G15" t="str">
        <f t="shared" si="2"/>
        <v>36歳00ヶ月16日</v>
      </c>
      <c r="I15" s="6" t="str">
        <f t="shared" si="3"/>
        <v/>
      </c>
      <c r="J15" s="7" t="str">
        <f t="shared" si="4"/>
        <v>○</v>
      </c>
    </row>
    <row r="16" spans="1:10" x14ac:dyDescent="0.15">
      <c r="A16" s="2">
        <v>20250403114100</v>
      </c>
      <c r="B16" s="4" t="str">
        <f t="shared" si="0"/>
        <v>20250403</v>
      </c>
      <c r="C16" s="2">
        <v>20250325134540</v>
      </c>
      <c r="D16" s="4" t="str">
        <f t="shared" si="1"/>
        <v>20250325</v>
      </c>
      <c r="E16" s="3" t="s">
        <v>4</v>
      </c>
      <c r="F16" s="2">
        <v>680119</v>
      </c>
      <c r="G16" t="str">
        <f t="shared" si="2"/>
        <v>68歳01ヶ月19日</v>
      </c>
      <c r="I16" s="6" t="str">
        <f t="shared" si="3"/>
        <v/>
      </c>
      <c r="J16" s="7" t="str">
        <f t="shared" si="4"/>
        <v>○</v>
      </c>
    </row>
    <row r="17" spans="1:10" x14ac:dyDescent="0.15">
      <c r="A17" s="2">
        <v>20250403163000</v>
      </c>
      <c r="B17" s="4" t="str">
        <f t="shared" si="0"/>
        <v>20250403</v>
      </c>
      <c r="C17" s="2">
        <v>20250403154102</v>
      </c>
      <c r="D17" s="4" t="str">
        <f t="shared" si="1"/>
        <v>20250403</v>
      </c>
      <c r="E17" s="3" t="s">
        <v>5</v>
      </c>
      <c r="F17" s="2">
        <v>840411</v>
      </c>
      <c r="G17" t="str">
        <f t="shared" si="2"/>
        <v>84歳04ヶ月11日</v>
      </c>
      <c r="I17" s="6" t="str">
        <f t="shared" si="3"/>
        <v>○</v>
      </c>
      <c r="J17" s="7" t="str">
        <f t="shared" si="4"/>
        <v/>
      </c>
    </row>
    <row r="18" spans="1:10" x14ac:dyDescent="0.15">
      <c r="A18" s="2">
        <v>20250403165400</v>
      </c>
      <c r="B18" s="4" t="str">
        <f t="shared" si="0"/>
        <v>20250403</v>
      </c>
      <c r="C18" s="2">
        <v>20250403161154</v>
      </c>
      <c r="D18" s="4" t="str">
        <f t="shared" si="1"/>
        <v>20250403</v>
      </c>
      <c r="E18" s="3" t="s">
        <v>4</v>
      </c>
      <c r="F18" s="2">
        <v>560926</v>
      </c>
      <c r="G18" t="str">
        <f t="shared" si="2"/>
        <v>56歳09ヶ月26日</v>
      </c>
      <c r="I18" s="6" t="str">
        <f t="shared" si="3"/>
        <v>○</v>
      </c>
      <c r="J18" s="7" t="str">
        <f t="shared" si="4"/>
        <v/>
      </c>
    </row>
    <row r="19" spans="1:10" x14ac:dyDescent="0.15">
      <c r="A19" s="2">
        <v>20250404102000</v>
      </c>
      <c r="B19" s="4" t="str">
        <f t="shared" si="0"/>
        <v>20250404</v>
      </c>
      <c r="C19" s="2">
        <v>20250404095825</v>
      </c>
      <c r="D19" s="4" t="str">
        <f t="shared" si="1"/>
        <v>20250404</v>
      </c>
      <c r="E19" s="3" t="s">
        <v>4</v>
      </c>
      <c r="F19" s="2">
        <v>411101</v>
      </c>
      <c r="G19" t="str">
        <f t="shared" si="2"/>
        <v>41歳11ヶ月01日</v>
      </c>
      <c r="I19" s="6" t="str">
        <f t="shared" si="3"/>
        <v>○</v>
      </c>
      <c r="J19" s="7" t="str">
        <f t="shared" si="4"/>
        <v/>
      </c>
    </row>
    <row r="20" spans="1:10" x14ac:dyDescent="0.15">
      <c r="A20" s="2">
        <v>20250404112400</v>
      </c>
      <c r="B20" s="4" t="str">
        <f t="shared" si="0"/>
        <v>20250404</v>
      </c>
      <c r="C20" s="2">
        <v>20250404102845</v>
      </c>
      <c r="D20" s="4" t="str">
        <f t="shared" si="1"/>
        <v>20250404</v>
      </c>
      <c r="E20" s="3" t="s">
        <v>4</v>
      </c>
      <c r="F20" s="2">
        <v>790025</v>
      </c>
      <c r="G20" t="str">
        <f t="shared" si="2"/>
        <v>79歳00ヶ月25日</v>
      </c>
      <c r="I20" s="6" t="str">
        <f t="shared" si="3"/>
        <v>○</v>
      </c>
      <c r="J20" s="7" t="str">
        <f t="shared" si="4"/>
        <v/>
      </c>
    </row>
    <row r="21" spans="1:10" x14ac:dyDescent="0.15">
      <c r="A21" s="2">
        <v>20250404120400</v>
      </c>
      <c r="B21" s="4" t="str">
        <f t="shared" si="0"/>
        <v>20250404</v>
      </c>
      <c r="C21" s="2">
        <v>20250404113859</v>
      </c>
      <c r="D21" s="4" t="str">
        <f t="shared" si="1"/>
        <v>20250404</v>
      </c>
      <c r="E21" s="3" t="s">
        <v>4</v>
      </c>
      <c r="F21" s="2">
        <v>851120</v>
      </c>
      <c r="G21" t="str">
        <f t="shared" si="2"/>
        <v>85歳11ヶ月20日</v>
      </c>
      <c r="I21" s="6" t="str">
        <f t="shared" si="3"/>
        <v>○</v>
      </c>
      <c r="J21" s="7" t="str">
        <f t="shared" si="4"/>
        <v/>
      </c>
    </row>
    <row r="22" spans="1:10" x14ac:dyDescent="0.15">
      <c r="A22" s="2">
        <v>20250404143600</v>
      </c>
      <c r="B22" s="4" t="str">
        <f t="shared" si="0"/>
        <v>20250404</v>
      </c>
      <c r="C22" s="2">
        <v>20250404131012</v>
      </c>
      <c r="D22" s="4" t="str">
        <f t="shared" si="1"/>
        <v>20250404</v>
      </c>
      <c r="E22" s="3" t="s">
        <v>5</v>
      </c>
      <c r="F22" s="2">
        <v>990929</v>
      </c>
      <c r="G22" t="str">
        <f t="shared" si="2"/>
        <v>99歳09ヶ月29日</v>
      </c>
      <c r="I22" s="6" t="str">
        <f t="shared" si="3"/>
        <v>○</v>
      </c>
      <c r="J22" s="7" t="str">
        <f t="shared" si="4"/>
        <v/>
      </c>
    </row>
    <row r="23" spans="1:10" x14ac:dyDescent="0.15">
      <c r="A23" s="2">
        <v>20250404162900</v>
      </c>
      <c r="B23" s="4" t="str">
        <f t="shared" si="0"/>
        <v>20250404</v>
      </c>
      <c r="C23" s="2">
        <v>20250315092537</v>
      </c>
      <c r="D23" s="4" t="str">
        <f t="shared" si="1"/>
        <v>20250315</v>
      </c>
      <c r="E23" s="3" t="s">
        <v>4</v>
      </c>
      <c r="F23" s="2">
        <v>610302</v>
      </c>
      <c r="G23" t="str">
        <f t="shared" si="2"/>
        <v>61歳03ヶ月02日</v>
      </c>
      <c r="I23" s="6" t="str">
        <f t="shared" si="3"/>
        <v/>
      </c>
      <c r="J23" s="7" t="str">
        <f t="shared" si="4"/>
        <v>○</v>
      </c>
    </row>
    <row r="24" spans="1:10" x14ac:dyDescent="0.15">
      <c r="A24" s="2">
        <v>20250407133500</v>
      </c>
      <c r="B24" s="4" t="str">
        <f t="shared" si="0"/>
        <v>20250407</v>
      </c>
      <c r="C24" s="2">
        <v>20250407130017</v>
      </c>
      <c r="D24" s="4" t="str">
        <f t="shared" si="1"/>
        <v>20250407</v>
      </c>
      <c r="E24" s="3" t="s">
        <v>5</v>
      </c>
      <c r="F24" s="2">
        <v>611112</v>
      </c>
      <c r="G24" t="str">
        <f t="shared" si="2"/>
        <v>61歳11ヶ月12日</v>
      </c>
      <c r="I24" s="6" t="str">
        <f t="shared" si="3"/>
        <v>○</v>
      </c>
      <c r="J24" s="7" t="str">
        <f t="shared" si="4"/>
        <v/>
      </c>
    </row>
    <row r="25" spans="1:10" x14ac:dyDescent="0.15">
      <c r="A25" s="2">
        <v>20250407151600</v>
      </c>
      <c r="B25" s="4" t="str">
        <f t="shared" si="0"/>
        <v>20250407</v>
      </c>
      <c r="C25" s="2">
        <v>20250407135510</v>
      </c>
      <c r="D25" s="4" t="str">
        <f t="shared" si="1"/>
        <v>20250407</v>
      </c>
      <c r="E25" s="3" t="s">
        <v>4</v>
      </c>
      <c r="F25" s="2">
        <v>850718</v>
      </c>
      <c r="G25" t="str">
        <f t="shared" si="2"/>
        <v>85歳07ヶ月18日</v>
      </c>
      <c r="I25" s="6" t="str">
        <f t="shared" si="3"/>
        <v>○</v>
      </c>
      <c r="J25" s="7" t="str">
        <f t="shared" si="4"/>
        <v/>
      </c>
    </row>
    <row r="26" spans="1:10" x14ac:dyDescent="0.15">
      <c r="A26" s="2">
        <v>20250407160000</v>
      </c>
      <c r="B26" s="4" t="str">
        <f t="shared" si="0"/>
        <v>20250407</v>
      </c>
      <c r="C26" s="2">
        <v>20250407153025</v>
      </c>
      <c r="D26" s="4" t="str">
        <f t="shared" si="1"/>
        <v>20250407</v>
      </c>
      <c r="E26" s="3" t="s">
        <v>4</v>
      </c>
      <c r="F26" s="2">
        <v>840622</v>
      </c>
      <c r="G26" t="str">
        <f t="shared" si="2"/>
        <v>84歳06ヶ月22日</v>
      </c>
      <c r="I26" s="6" t="str">
        <f t="shared" si="3"/>
        <v>○</v>
      </c>
      <c r="J26" s="7" t="str">
        <f t="shared" si="4"/>
        <v/>
      </c>
    </row>
    <row r="27" spans="1:10" x14ac:dyDescent="0.15">
      <c r="A27" s="2">
        <v>20250407162500</v>
      </c>
      <c r="B27" s="4" t="str">
        <f t="shared" si="0"/>
        <v>20250407</v>
      </c>
      <c r="C27" s="2">
        <v>20250403090943</v>
      </c>
      <c r="D27" s="4" t="str">
        <f t="shared" si="1"/>
        <v>20250403</v>
      </c>
      <c r="E27" s="3" t="s">
        <v>4</v>
      </c>
      <c r="F27" s="2">
        <v>730020</v>
      </c>
      <c r="G27" t="str">
        <f t="shared" si="2"/>
        <v>73歳00ヶ月20日</v>
      </c>
      <c r="I27" s="6" t="str">
        <f t="shared" si="3"/>
        <v/>
      </c>
      <c r="J27" s="7" t="str">
        <f t="shared" si="4"/>
        <v>○</v>
      </c>
    </row>
    <row r="28" spans="1:10" x14ac:dyDescent="0.15">
      <c r="A28" s="2">
        <v>20250407223000</v>
      </c>
      <c r="B28" s="4" t="str">
        <f t="shared" si="0"/>
        <v>20250407</v>
      </c>
      <c r="C28" s="2">
        <v>20250327093544</v>
      </c>
      <c r="D28" s="4" t="str">
        <f t="shared" si="1"/>
        <v>20250327</v>
      </c>
      <c r="E28" s="3" t="s">
        <v>4</v>
      </c>
      <c r="F28" s="2">
        <v>680823</v>
      </c>
      <c r="G28" t="str">
        <f t="shared" si="2"/>
        <v>68歳08ヶ月23日</v>
      </c>
      <c r="I28" s="6" t="str">
        <f t="shared" si="3"/>
        <v/>
      </c>
      <c r="J28" s="7" t="str">
        <f t="shared" si="4"/>
        <v>○</v>
      </c>
    </row>
    <row r="29" spans="1:10" x14ac:dyDescent="0.15">
      <c r="A29" s="2">
        <v>20250407223000</v>
      </c>
      <c r="B29" s="4" t="str">
        <f t="shared" si="0"/>
        <v>20250407</v>
      </c>
      <c r="C29" s="2">
        <v>20250407222434</v>
      </c>
      <c r="D29" s="4" t="str">
        <f t="shared" si="1"/>
        <v>20250407</v>
      </c>
      <c r="E29" s="3" t="s">
        <v>4</v>
      </c>
      <c r="F29" s="2">
        <v>680823</v>
      </c>
      <c r="G29" t="str">
        <f t="shared" si="2"/>
        <v>68歳08ヶ月23日</v>
      </c>
      <c r="I29" s="6" t="str">
        <f t="shared" si="3"/>
        <v>○</v>
      </c>
      <c r="J29" s="7" t="str">
        <f t="shared" si="4"/>
        <v/>
      </c>
    </row>
    <row r="30" spans="1:10" x14ac:dyDescent="0.15">
      <c r="A30" s="2">
        <v>20250408095700</v>
      </c>
      <c r="B30" s="4" t="str">
        <f t="shared" si="0"/>
        <v>20250408</v>
      </c>
      <c r="C30" s="2">
        <v>20250402145727</v>
      </c>
      <c r="D30" s="4" t="str">
        <f t="shared" si="1"/>
        <v>20250402</v>
      </c>
      <c r="E30" s="3" t="s">
        <v>4</v>
      </c>
      <c r="F30" s="2">
        <v>900201</v>
      </c>
      <c r="G30" t="str">
        <f t="shared" si="2"/>
        <v>90歳02ヶ月01日</v>
      </c>
      <c r="I30" s="6" t="str">
        <f t="shared" si="3"/>
        <v/>
      </c>
      <c r="J30" s="7" t="str">
        <f t="shared" si="4"/>
        <v>○</v>
      </c>
    </row>
    <row r="31" spans="1:10" x14ac:dyDescent="0.15">
      <c r="A31" s="2">
        <v>20250408103700</v>
      </c>
      <c r="B31" s="4" t="str">
        <f t="shared" si="0"/>
        <v>20250408</v>
      </c>
      <c r="C31" s="2">
        <v>20250408101025</v>
      </c>
      <c r="D31" s="4" t="str">
        <f t="shared" si="1"/>
        <v>20250408</v>
      </c>
      <c r="E31" s="3" t="s">
        <v>5</v>
      </c>
      <c r="F31" s="2">
        <v>560613</v>
      </c>
      <c r="G31" t="str">
        <f t="shared" si="2"/>
        <v>56歳06ヶ月13日</v>
      </c>
      <c r="I31" s="6" t="str">
        <f t="shared" si="3"/>
        <v>○</v>
      </c>
      <c r="J31" s="7" t="str">
        <f t="shared" si="4"/>
        <v/>
      </c>
    </row>
    <row r="32" spans="1:10" x14ac:dyDescent="0.15">
      <c r="A32" s="2">
        <v>20250408125900</v>
      </c>
      <c r="B32" s="4" t="str">
        <f t="shared" si="0"/>
        <v>20250408</v>
      </c>
      <c r="C32" s="2">
        <v>20250408114025</v>
      </c>
      <c r="D32" s="4" t="str">
        <f t="shared" si="1"/>
        <v>20250408</v>
      </c>
      <c r="E32" s="3" t="s">
        <v>5</v>
      </c>
      <c r="F32" s="2">
        <v>940012</v>
      </c>
      <c r="G32" t="str">
        <f t="shared" si="2"/>
        <v>94歳00ヶ月12日</v>
      </c>
      <c r="I32" s="6" t="str">
        <f t="shared" si="3"/>
        <v>○</v>
      </c>
      <c r="J32" s="7" t="str">
        <f t="shared" si="4"/>
        <v/>
      </c>
    </row>
    <row r="33" spans="1:10" x14ac:dyDescent="0.15">
      <c r="A33" s="2">
        <v>20250408144500</v>
      </c>
      <c r="B33" s="4" t="str">
        <f t="shared" si="0"/>
        <v>20250408</v>
      </c>
      <c r="C33" s="2">
        <v>20250408133835</v>
      </c>
      <c r="D33" s="4" t="str">
        <f t="shared" si="1"/>
        <v>20250408</v>
      </c>
      <c r="E33" s="3" t="s">
        <v>5</v>
      </c>
      <c r="F33" s="2">
        <v>770319</v>
      </c>
      <c r="G33" t="str">
        <f t="shared" si="2"/>
        <v>77歳03ヶ月19日</v>
      </c>
      <c r="I33" s="6" t="str">
        <f t="shared" si="3"/>
        <v>○</v>
      </c>
      <c r="J33" s="7" t="str">
        <f t="shared" si="4"/>
        <v/>
      </c>
    </row>
    <row r="34" spans="1:10" x14ac:dyDescent="0.15">
      <c r="A34" s="2">
        <v>20250408150000</v>
      </c>
      <c r="B34" s="4" t="str">
        <f t="shared" si="0"/>
        <v>20250408</v>
      </c>
      <c r="C34" s="2">
        <v>20250317112229</v>
      </c>
      <c r="D34" s="4" t="str">
        <f t="shared" si="1"/>
        <v>20250317</v>
      </c>
      <c r="E34" s="3" t="s">
        <v>4</v>
      </c>
      <c r="F34" s="2">
        <v>510802</v>
      </c>
      <c r="G34" t="str">
        <f t="shared" si="2"/>
        <v>51歳08ヶ月02日</v>
      </c>
      <c r="I34" s="6" t="str">
        <f t="shared" si="3"/>
        <v/>
      </c>
      <c r="J34" s="7" t="str">
        <f t="shared" si="4"/>
        <v>○</v>
      </c>
    </row>
    <row r="35" spans="1:10" x14ac:dyDescent="0.15">
      <c r="A35" s="2">
        <v>20250408151800</v>
      </c>
      <c r="B35" s="4" t="str">
        <f t="shared" si="0"/>
        <v>20250408</v>
      </c>
      <c r="C35" s="2">
        <v>20250322111604</v>
      </c>
      <c r="D35" s="4" t="str">
        <f t="shared" si="1"/>
        <v>20250322</v>
      </c>
      <c r="E35" s="3" t="s">
        <v>5</v>
      </c>
      <c r="F35" s="2">
        <v>840418</v>
      </c>
      <c r="G35" t="str">
        <f t="shared" si="2"/>
        <v>84歳04ヶ月18日</v>
      </c>
      <c r="I35" s="6" t="str">
        <f t="shared" si="3"/>
        <v/>
      </c>
      <c r="J35" s="7" t="str">
        <f t="shared" si="4"/>
        <v>○</v>
      </c>
    </row>
    <row r="36" spans="1:10" x14ac:dyDescent="0.15">
      <c r="A36" s="2">
        <v>20250408171600</v>
      </c>
      <c r="B36" s="4" t="str">
        <f t="shared" si="0"/>
        <v>20250408</v>
      </c>
      <c r="C36" s="2">
        <v>20250324154816</v>
      </c>
      <c r="D36" s="4" t="str">
        <f t="shared" si="1"/>
        <v>20250324</v>
      </c>
      <c r="E36" s="3" t="s">
        <v>4</v>
      </c>
      <c r="F36" s="2">
        <v>520521</v>
      </c>
      <c r="G36" t="str">
        <f t="shared" si="2"/>
        <v>52歳05ヶ月21日</v>
      </c>
      <c r="I36" s="6" t="str">
        <f t="shared" si="3"/>
        <v/>
      </c>
      <c r="J36" s="7" t="str">
        <f t="shared" si="4"/>
        <v>○</v>
      </c>
    </row>
    <row r="37" spans="1:10" x14ac:dyDescent="0.15">
      <c r="A37" s="2">
        <v>20250408174500</v>
      </c>
      <c r="B37" s="4" t="str">
        <f t="shared" si="0"/>
        <v>20250408</v>
      </c>
      <c r="C37" s="2">
        <v>20250408171556</v>
      </c>
      <c r="D37" s="4" t="str">
        <f t="shared" si="1"/>
        <v>20250408</v>
      </c>
      <c r="E37" s="3" t="s">
        <v>5</v>
      </c>
      <c r="F37" s="2">
        <v>820405</v>
      </c>
      <c r="G37" t="str">
        <f t="shared" si="2"/>
        <v>82歳04ヶ月05日</v>
      </c>
      <c r="I37" s="6" t="str">
        <f t="shared" si="3"/>
        <v>○</v>
      </c>
      <c r="J37" s="7" t="str">
        <f t="shared" si="4"/>
        <v/>
      </c>
    </row>
    <row r="38" spans="1:10" x14ac:dyDescent="0.15">
      <c r="A38" s="2">
        <v>20250409092300</v>
      </c>
      <c r="B38" s="4" t="str">
        <f t="shared" si="0"/>
        <v>20250409</v>
      </c>
      <c r="C38" s="2">
        <v>20250408111704</v>
      </c>
      <c r="D38" s="4" t="str">
        <f t="shared" si="1"/>
        <v>20250408</v>
      </c>
      <c r="E38" s="3" t="s">
        <v>5</v>
      </c>
      <c r="F38" s="2">
        <v>840919</v>
      </c>
      <c r="G38" t="str">
        <f t="shared" si="2"/>
        <v>84歳09ヶ月19日</v>
      </c>
      <c r="I38" s="6" t="str">
        <f t="shared" si="3"/>
        <v/>
      </c>
      <c r="J38" s="7" t="str">
        <f t="shared" si="4"/>
        <v>○</v>
      </c>
    </row>
    <row r="39" spans="1:10" x14ac:dyDescent="0.15">
      <c r="A39" s="2">
        <v>20250409095700</v>
      </c>
      <c r="B39" s="4" t="str">
        <f t="shared" si="0"/>
        <v>20250409</v>
      </c>
      <c r="C39" s="2">
        <v>20250116124136</v>
      </c>
      <c r="D39" s="4" t="str">
        <f t="shared" si="1"/>
        <v>20250116</v>
      </c>
      <c r="E39" s="3" t="s">
        <v>5</v>
      </c>
      <c r="F39" s="2">
        <v>580806</v>
      </c>
      <c r="G39" t="str">
        <f t="shared" si="2"/>
        <v>58歳08ヶ月06日</v>
      </c>
      <c r="I39" s="6" t="str">
        <f t="shared" si="3"/>
        <v/>
      </c>
      <c r="J39" s="7" t="str">
        <f t="shared" si="4"/>
        <v>○</v>
      </c>
    </row>
    <row r="40" spans="1:10" x14ac:dyDescent="0.15">
      <c r="A40" s="2">
        <v>20250409145900</v>
      </c>
      <c r="B40" s="4" t="str">
        <f t="shared" si="0"/>
        <v>20250409</v>
      </c>
      <c r="C40" s="2">
        <v>20250409141850</v>
      </c>
      <c r="D40" s="4" t="str">
        <f t="shared" si="1"/>
        <v>20250409</v>
      </c>
      <c r="E40" s="3" t="s">
        <v>4</v>
      </c>
      <c r="F40" s="2">
        <v>940920</v>
      </c>
      <c r="G40" t="str">
        <f t="shared" si="2"/>
        <v>94歳09ヶ月20日</v>
      </c>
      <c r="I40" s="6" t="str">
        <f t="shared" si="3"/>
        <v>○</v>
      </c>
      <c r="J40" s="7" t="str">
        <f t="shared" si="4"/>
        <v/>
      </c>
    </row>
    <row r="41" spans="1:10" x14ac:dyDescent="0.15">
      <c r="A41" s="2">
        <v>20250409151100</v>
      </c>
      <c r="B41" s="4" t="str">
        <f t="shared" si="0"/>
        <v>20250409</v>
      </c>
      <c r="C41" s="2">
        <v>20250327092852</v>
      </c>
      <c r="D41" s="4" t="str">
        <f t="shared" si="1"/>
        <v>20250327</v>
      </c>
      <c r="E41" s="3" t="s">
        <v>5</v>
      </c>
      <c r="F41" s="2">
        <v>620216</v>
      </c>
      <c r="G41" t="str">
        <f t="shared" si="2"/>
        <v>62歳02ヶ月16日</v>
      </c>
      <c r="I41" s="6" t="str">
        <f t="shared" si="3"/>
        <v/>
      </c>
      <c r="J41" s="7" t="str">
        <f t="shared" si="4"/>
        <v>○</v>
      </c>
    </row>
    <row r="42" spans="1:10" x14ac:dyDescent="0.15">
      <c r="A42" s="2">
        <v>20250409155100</v>
      </c>
      <c r="B42" s="4" t="str">
        <f t="shared" si="0"/>
        <v>20250409</v>
      </c>
      <c r="C42" s="2">
        <v>20250409150220</v>
      </c>
      <c r="D42" s="4" t="str">
        <f t="shared" si="1"/>
        <v>20250409</v>
      </c>
      <c r="E42" s="3" t="s">
        <v>5</v>
      </c>
      <c r="F42" s="2">
        <v>600619</v>
      </c>
      <c r="G42" t="str">
        <f t="shared" si="2"/>
        <v>60歳06ヶ月19日</v>
      </c>
      <c r="I42" s="6" t="str">
        <f t="shared" si="3"/>
        <v>○</v>
      </c>
      <c r="J42" s="7" t="str">
        <f t="shared" si="4"/>
        <v/>
      </c>
    </row>
    <row r="43" spans="1:10" x14ac:dyDescent="0.15">
      <c r="A43" s="2">
        <v>20250409164200</v>
      </c>
      <c r="B43" s="4" t="str">
        <f t="shared" si="0"/>
        <v>20250409</v>
      </c>
      <c r="C43" s="2">
        <v>20250227143955</v>
      </c>
      <c r="D43" s="4" t="str">
        <f t="shared" si="1"/>
        <v>20250227</v>
      </c>
      <c r="E43" s="3" t="s">
        <v>4</v>
      </c>
      <c r="F43" s="2">
        <v>850426</v>
      </c>
      <c r="G43" t="str">
        <f t="shared" si="2"/>
        <v>85歳04ヶ月26日</v>
      </c>
      <c r="I43" s="6" t="str">
        <f t="shared" si="3"/>
        <v/>
      </c>
      <c r="J43" s="7" t="str">
        <f t="shared" si="4"/>
        <v>○</v>
      </c>
    </row>
    <row r="44" spans="1:10" x14ac:dyDescent="0.15">
      <c r="A44" s="2">
        <v>20250410094200</v>
      </c>
      <c r="B44" s="4" t="str">
        <f t="shared" si="0"/>
        <v>20250410</v>
      </c>
      <c r="C44" s="2">
        <v>20250403140522</v>
      </c>
      <c r="D44" s="4" t="str">
        <f t="shared" si="1"/>
        <v>20250403</v>
      </c>
      <c r="E44" s="3" t="s">
        <v>4</v>
      </c>
      <c r="F44" s="2">
        <v>791109</v>
      </c>
      <c r="G44" t="str">
        <f t="shared" si="2"/>
        <v>79歳11ヶ月09日</v>
      </c>
      <c r="I44" s="6" t="str">
        <f t="shared" si="3"/>
        <v/>
      </c>
      <c r="J44" s="7" t="str">
        <f t="shared" si="4"/>
        <v>○</v>
      </c>
    </row>
    <row r="45" spans="1:10" x14ac:dyDescent="0.15">
      <c r="A45" s="2">
        <v>20250410103000</v>
      </c>
      <c r="B45" s="4" t="str">
        <f t="shared" si="0"/>
        <v>20250410</v>
      </c>
      <c r="C45" s="2">
        <v>20250410094938</v>
      </c>
      <c r="D45" s="4" t="str">
        <f t="shared" si="1"/>
        <v>20250410</v>
      </c>
      <c r="E45" s="3" t="s">
        <v>4</v>
      </c>
      <c r="F45" s="2">
        <v>160320</v>
      </c>
      <c r="G45" t="str">
        <f t="shared" si="2"/>
        <v>16歳03ヶ月20日</v>
      </c>
      <c r="I45" s="6" t="str">
        <f t="shared" si="3"/>
        <v>○</v>
      </c>
      <c r="J45" s="7" t="str">
        <f t="shared" si="4"/>
        <v/>
      </c>
    </row>
    <row r="46" spans="1:10" x14ac:dyDescent="0.15">
      <c r="A46" s="2">
        <v>20250410120700</v>
      </c>
      <c r="B46" s="4" t="str">
        <f t="shared" si="0"/>
        <v>20250410</v>
      </c>
      <c r="C46" s="2">
        <v>20250410114101</v>
      </c>
      <c r="D46" s="4" t="str">
        <f t="shared" si="1"/>
        <v>20250410</v>
      </c>
      <c r="E46" s="3" t="s">
        <v>4</v>
      </c>
      <c r="F46" s="2">
        <v>931029</v>
      </c>
      <c r="G46" t="str">
        <f t="shared" si="2"/>
        <v>93歳10ヶ月29日</v>
      </c>
      <c r="I46" s="6" t="str">
        <f t="shared" si="3"/>
        <v>○</v>
      </c>
      <c r="J46" s="7" t="str">
        <f t="shared" si="4"/>
        <v/>
      </c>
    </row>
    <row r="47" spans="1:10" x14ac:dyDescent="0.15">
      <c r="A47" s="2">
        <v>20250410132100</v>
      </c>
      <c r="B47" s="4" t="str">
        <f t="shared" si="0"/>
        <v>20250410</v>
      </c>
      <c r="C47" s="2">
        <v>20250410124222</v>
      </c>
      <c r="D47" s="4" t="str">
        <f t="shared" si="1"/>
        <v>20250410</v>
      </c>
      <c r="E47" s="3" t="s">
        <v>4</v>
      </c>
      <c r="F47" s="2">
        <v>541123</v>
      </c>
      <c r="G47" t="str">
        <f t="shared" si="2"/>
        <v>54歳11ヶ月23日</v>
      </c>
      <c r="I47" s="6" t="str">
        <f t="shared" si="3"/>
        <v>○</v>
      </c>
      <c r="J47" s="7" t="str">
        <f t="shared" si="4"/>
        <v/>
      </c>
    </row>
    <row r="48" spans="1:10" x14ac:dyDescent="0.15">
      <c r="A48" s="2">
        <v>20250410163300</v>
      </c>
      <c r="B48" s="4" t="str">
        <f t="shared" si="0"/>
        <v>20250410</v>
      </c>
      <c r="C48" s="2">
        <v>20250410154930</v>
      </c>
      <c r="D48" s="4" t="str">
        <f t="shared" si="1"/>
        <v>20250410</v>
      </c>
      <c r="E48" s="3" t="s">
        <v>5</v>
      </c>
      <c r="F48" s="2">
        <v>790605</v>
      </c>
      <c r="G48" t="str">
        <f t="shared" si="2"/>
        <v>79歳06ヶ月05日</v>
      </c>
      <c r="I48" s="6" t="str">
        <f t="shared" si="3"/>
        <v>○</v>
      </c>
      <c r="J48" s="7" t="str">
        <f t="shared" si="4"/>
        <v/>
      </c>
    </row>
    <row r="49" spans="1:10" x14ac:dyDescent="0.15">
      <c r="A49" s="2">
        <v>20250410174000</v>
      </c>
      <c r="B49" s="4" t="str">
        <f t="shared" si="0"/>
        <v>20250410</v>
      </c>
      <c r="C49" s="2">
        <v>20250410171256</v>
      </c>
      <c r="D49" s="4" t="str">
        <f t="shared" si="1"/>
        <v>20250410</v>
      </c>
      <c r="E49" s="3" t="s">
        <v>4</v>
      </c>
      <c r="F49" s="2">
        <v>860101</v>
      </c>
      <c r="G49" t="str">
        <f t="shared" si="2"/>
        <v>86歳01ヶ月01日</v>
      </c>
      <c r="I49" s="6" t="str">
        <f t="shared" si="3"/>
        <v>○</v>
      </c>
      <c r="J49" s="7" t="str">
        <f t="shared" si="4"/>
        <v/>
      </c>
    </row>
    <row r="50" spans="1:10" x14ac:dyDescent="0.15">
      <c r="A50" s="2">
        <v>20250410195000</v>
      </c>
      <c r="B50" s="4" t="str">
        <f t="shared" si="0"/>
        <v>20250410</v>
      </c>
      <c r="C50" s="2">
        <v>20250410190735</v>
      </c>
      <c r="D50" s="4" t="str">
        <f t="shared" si="1"/>
        <v>20250410</v>
      </c>
      <c r="E50" s="3" t="s">
        <v>5</v>
      </c>
      <c r="F50" s="2">
        <v>730700</v>
      </c>
      <c r="G50" t="str">
        <f t="shared" si="2"/>
        <v>73歳07ヶ月00日</v>
      </c>
      <c r="I50" s="6" t="str">
        <f t="shared" si="3"/>
        <v>○</v>
      </c>
      <c r="J50" s="7" t="str">
        <f t="shared" si="4"/>
        <v/>
      </c>
    </row>
    <row r="51" spans="1:10" x14ac:dyDescent="0.15">
      <c r="A51" s="2">
        <v>20250411105500</v>
      </c>
      <c r="B51" s="4" t="str">
        <f t="shared" si="0"/>
        <v>20250411</v>
      </c>
      <c r="C51" s="2">
        <v>20250411090644</v>
      </c>
      <c r="D51" s="4" t="str">
        <f t="shared" si="1"/>
        <v>20250411</v>
      </c>
      <c r="E51" s="3" t="s">
        <v>4</v>
      </c>
      <c r="F51" s="2">
        <v>900010</v>
      </c>
      <c r="G51" t="str">
        <f t="shared" si="2"/>
        <v>90歳00ヶ月10日</v>
      </c>
      <c r="I51" s="6" t="str">
        <f t="shared" si="3"/>
        <v>○</v>
      </c>
      <c r="J51" s="7" t="str">
        <f t="shared" si="4"/>
        <v/>
      </c>
    </row>
    <row r="52" spans="1:10" x14ac:dyDescent="0.15">
      <c r="A52" s="2">
        <v>20250411121900</v>
      </c>
      <c r="B52" s="4" t="str">
        <f t="shared" si="0"/>
        <v>20250411</v>
      </c>
      <c r="C52" s="2">
        <v>20250411104800</v>
      </c>
      <c r="D52" s="4" t="str">
        <f t="shared" si="1"/>
        <v>20250411</v>
      </c>
      <c r="E52" s="3" t="s">
        <v>4</v>
      </c>
      <c r="F52" s="2">
        <v>820403</v>
      </c>
      <c r="G52" t="str">
        <f t="shared" si="2"/>
        <v>82歳04ヶ月03日</v>
      </c>
      <c r="I52" s="6" t="str">
        <f t="shared" si="3"/>
        <v>○</v>
      </c>
      <c r="J52" s="7" t="str">
        <f t="shared" si="4"/>
        <v/>
      </c>
    </row>
    <row r="53" spans="1:10" x14ac:dyDescent="0.15">
      <c r="A53" s="2">
        <v>20250411134400</v>
      </c>
      <c r="B53" s="4" t="str">
        <f t="shared" si="0"/>
        <v>20250411</v>
      </c>
      <c r="C53" s="2">
        <v>20250411082130</v>
      </c>
      <c r="D53" s="4" t="str">
        <f t="shared" si="1"/>
        <v>20250411</v>
      </c>
      <c r="E53" s="3" t="s">
        <v>5</v>
      </c>
      <c r="F53" s="2">
        <v>880912</v>
      </c>
      <c r="G53" t="str">
        <f t="shared" si="2"/>
        <v>88歳09ヶ月12日</v>
      </c>
      <c r="I53" s="6" t="str">
        <f t="shared" si="3"/>
        <v>○</v>
      </c>
      <c r="J53" s="7" t="str">
        <f t="shared" si="4"/>
        <v/>
      </c>
    </row>
    <row r="54" spans="1:10" x14ac:dyDescent="0.15">
      <c r="A54" s="2">
        <v>20250411152500</v>
      </c>
      <c r="B54" s="4" t="str">
        <f t="shared" si="0"/>
        <v>20250411</v>
      </c>
      <c r="C54" s="2">
        <v>20250319114048</v>
      </c>
      <c r="D54" s="4" t="str">
        <f t="shared" si="1"/>
        <v>20250319</v>
      </c>
      <c r="E54" s="3" t="s">
        <v>4</v>
      </c>
      <c r="F54" s="2">
        <v>740530</v>
      </c>
      <c r="G54" t="str">
        <f t="shared" si="2"/>
        <v>74歳05ヶ月30日</v>
      </c>
      <c r="I54" s="6" t="str">
        <f t="shared" si="3"/>
        <v/>
      </c>
      <c r="J54" s="7" t="str">
        <f t="shared" si="4"/>
        <v>○</v>
      </c>
    </row>
    <row r="55" spans="1:10" x14ac:dyDescent="0.15">
      <c r="A55" s="2">
        <v>20250411152900</v>
      </c>
      <c r="B55" s="4" t="str">
        <f t="shared" si="0"/>
        <v>20250411</v>
      </c>
      <c r="C55" s="2">
        <v>20250411142107</v>
      </c>
      <c r="D55" s="4" t="str">
        <f t="shared" si="1"/>
        <v>20250411</v>
      </c>
      <c r="E55" s="3" t="s">
        <v>4</v>
      </c>
      <c r="F55" s="2">
        <v>670121</v>
      </c>
      <c r="G55" t="str">
        <f t="shared" si="2"/>
        <v>67歳01ヶ月21日</v>
      </c>
      <c r="I55" s="6" t="str">
        <f t="shared" si="3"/>
        <v>○</v>
      </c>
      <c r="J55" s="7" t="str">
        <f t="shared" si="4"/>
        <v/>
      </c>
    </row>
    <row r="56" spans="1:10" x14ac:dyDescent="0.15">
      <c r="A56" s="2">
        <v>20250411155700</v>
      </c>
      <c r="B56" s="4" t="str">
        <f t="shared" si="0"/>
        <v>20250411</v>
      </c>
      <c r="C56" s="2">
        <v>20250411145335</v>
      </c>
      <c r="D56" s="4" t="str">
        <f t="shared" si="1"/>
        <v>20250411</v>
      </c>
      <c r="E56" s="3" t="s">
        <v>4</v>
      </c>
      <c r="F56" s="2">
        <v>820327</v>
      </c>
      <c r="G56" t="str">
        <f t="shared" si="2"/>
        <v>82歳03ヶ月27日</v>
      </c>
      <c r="I56" s="6" t="str">
        <f t="shared" si="3"/>
        <v>○</v>
      </c>
      <c r="J56" s="7" t="str">
        <f t="shared" si="4"/>
        <v/>
      </c>
    </row>
    <row r="57" spans="1:10" x14ac:dyDescent="0.15">
      <c r="A57" s="2">
        <v>20250411155800</v>
      </c>
      <c r="B57" s="4" t="str">
        <f t="shared" si="0"/>
        <v>20250411</v>
      </c>
      <c r="C57" s="2">
        <v>20250411145947</v>
      </c>
      <c r="D57" s="4" t="str">
        <f t="shared" si="1"/>
        <v>20250411</v>
      </c>
      <c r="E57" s="3" t="s">
        <v>4</v>
      </c>
      <c r="F57" s="2">
        <v>730801</v>
      </c>
      <c r="G57" t="str">
        <f t="shared" si="2"/>
        <v>73歳08ヶ月01日</v>
      </c>
      <c r="I57" s="6" t="str">
        <f t="shared" si="3"/>
        <v>○</v>
      </c>
      <c r="J57" s="7" t="str">
        <f t="shared" si="4"/>
        <v/>
      </c>
    </row>
    <row r="58" spans="1:10" x14ac:dyDescent="0.15">
      <c r="A58" s="2">
        <v>20250412093500</v>
      </c>
      <c r="B58" s="4" t="str">
        <f t="shared" si="0"/>
        <v>20250412</v>
      </c>
      <c r="C58" s="2">
        <v>20250411133822</v>
      </c>
      <c r="D58" s="4" t="str">
        <f t="shared" si="1"/>
        <v>20250411</v>
      </c>
      <c r="E58" s="3" t="s">
        <v>5</v>
      </c>
      <c r="F58" s="2">
        <v>640719</v>
      </c>
      <c r="G58" t="str">
        <f t="shared" si="2"/>
        <v>64歳07ヶ月19日</v>
      </c>
      <c r="I58" s="6" t="str">
        <f t="shared" si="3"/>
        <v/>
      </c>
      <c r="J58" s="7" t="str">
        <f t="shared" si="4"/>
        <v>○</v>
      </c>
    </row>
    <row r="59" spans="1:10" x14ac:dyDescent="0.15">
      <c r="A59" s="2">
        <v>20250412100400</v>
      </c>
      <c r="B59" s="4" t="str">
        <f t="shared" si="0"/>
        <v>20250412</v>
      </c>
      <c r="C59" s="2">
        <v>20250324104058</v>
      </c>
      <c r="D59" s="4" t="str">
        <f t="shared" si="1"/>
        <v>20250324</v>
      </c>
      <c r="E59" s="3" t="s">
        <v>4</v>
      </c>
      <c r="F59" s="2">
        <v>720124</v>
      </c>
      <c r="G59" t="str">
        <f t="shared" si="2"/>
        <v>72歳01ヶ月24日</v>
      </c>
      <c r="I59" s="6" t="str">
        <f t="shared" si="3"/>
        <v/>
      </c>
      <c r="J59" s="7" t="str">
        <f t="shared" si="4"/>
        <v>○</v>
      </c>
    </row>
    <row r="60" spans="1:10" x14ac:dyDescent="0.15">
      <c r="A60" s="2">
        <v>20250412114700</v>
      </c>
      <c r="B60" s="4" t="str">
        <f t="shared" si="0"/>
        <v>20250412</v>
      </c>
      <c r="C60" s="2">
        <v>20250412112117</v>
      </c>
      <c r="D60" s="4" t="str">
        <f t="shared" si="1"/>
        <v>20250412</v>
      </c>
      <c r="E60" s="3" t="s">
        <v>4</v>
      </c>
      <c r="F60" s="2">
        <v>880303</v>
      </c>
      <c r="G60" t="str">
        <f t="shared" si="2"/>
        <v>88歳03ヶ月03日</v>
      </c>
      <c r="I60" s="6" t="str">
        <f t="shared" si="3"/>
        <v>○</v>
      </c>
      <c r="J60" s="7" t="str">
        <f t="shared" si="4"/>
        <v/>
      </c>
    </row>
    <row r="61" spans="1:10" x14ac:dyDescent="0.15">
      <c r="A61" s="2">
        <v>20250412125400</v>
      </c>
      <c r="B61" s="4" t="str">
        <f t="shared" si="0"/>
        <v>20250412</v>
      </c>
      <c r="C61" s="2">
        <v>20250412115639</v>
      </c>
      <c r="D61" s="4" t="str">
        <f t="shared" si="1"/>
        <v>20250412</v>
      </c>
      <c r="E61" s="3" t="s">
        <v>4</v>
      </c>
      <c r="F61" s="2">
        <v>860016</v>
      </c>
      <c r="G61" t="str">
        <f t="shared" si="2"/>
        <v>86歳00ヶ月16日</v>
      </c>
      <c r="I61" s="6" t="str">
        <f t="shared" si="3"/>
        <v>○</v>
      </c>
      <c r="J61" s="7" t="str">
        <f t="shared" si="4"/>
        <v/>
      </c>
    </row>
    <row r="62" spans="1:10" x14ac:dyDescent="0.15">
      <c r="A62" s="2">
        <v>20250412135500</v>
      </c>
      <c r="B62" s="4" t="str">
        <f t="shared" si="0"/>
        <v>20250412</v>
      </c>
      <c r="C62" s="2">
        <v>20250412130025</v>
      </c>
      <c r="D62" s="4" t="str">
        <f t="shared" si="1"/>
        <v>20250412</v>
      </c>
      <c r="E62" s="3" t="s">
        <v>5</v>
      </c>
      <c r="F62" s="2">
        <v>870024</v>
      </c>
      <c r="G62" t="str">
        <f t="shared" si="2"/>
        <v>87歳00ヶ月24日</v>
      </c>
      <c r="I62" s="6" t="str">
        <f t="shared" si="3"/>
        <v>○</v>
      </c>
      <c r="J62" s="7" t="str">
        <f t="shared" si="4"/>
        <v/>
      </c>
    </row>
    <row r="63" spans="1:10" x14ac:dyDescent="0.15">
      <c r="A63" s="2">
        <v>20250412171400</v>
      </c>
      <c r="B63" s="4" t="str">
        <f t="shared" si="0"/>
        <v>20250412</v>
      </c>
      <c r="C63" s="2">
        <v>20250412164744</v>
      </c>
      <c r="D63" s="4" t="str">
        <f t="shared" si="1"/>
        <v>20250412</v>
      </c>
      <c r="E63" s="3" t="s">
        <v>5</v>
      </c>
      <c r="F63" s="2">
        <v>890903</v>
      </c>
      <c r="G63" t="str">
        <f t="shared" si="2"/>
        <v>89歳09ヶ月03日</v>
      </c>
      <c r="I63" s="6" t="str">
        <f t="shared" si="3"/>
        <v>○</v>
      </c>
      <c r="J63" s="7" t="str">
        <f t="shared" si="4"/>
        <v/>
      </c>
    </row>
    <row r="64" spans="1:10" x14ac:dyDescent="0.15">
      <c r="A64" s="2">
        <v>20250414091800</v>
      </c>
      <c r="B64" s="4" t="str">
        <f t="shared" si="0"/>
        <v>20250414</v>
      </c>
      <c r="C64" s="2">
        <v>20250329110453</v>
      </c>
      <c r="D64" s="4" t="str">
        <f t="shared" si="1"/>
        <v>20250329</v>
      </c>
      <c r="E64" s="3" t="s">
        <v>4</v>
      </c>
      <c r="F64" s="2">
        <v>890328</v>
      </c>
      <c r="G64" t="str">
        <f t="shared" si="2"/>
        <v>89歳03ヶ月28日</v>
      </c>
      <c r="I64" s="6" t="str">
        <f t="shared" si="3"/>
        <v/>
      </c>
      <c r="J64" s="7" t="str">
        <f t="shared" si="4"/>
        <v>○</v>
      </c>
    </row>
    <row r="65" spans="1:10" x14ac:dyDescent="0.15">
      <c r="A65" s="2">
        <v>20250414100500</v>
      </c>
      <c r="B65" s="4" t="str">
        <f t="shared" si="0"/>
        <v>20250414</v>
      </c>
      <c r="C65" s="2">
        <v>20250324103250</v>
      </c>
      <c r="D65" s="4" t="str">
        <f t="shared" si="1"/>
        <v>20250324</v>
      </c>
      <c r="E65" s="3" t="s">
        <v>4</v>
      </c>
      <c r="F65" s="2">
        <v>700705</v>
      </c>
      <c r="G65" t="str">
        <f t="shared" si="2"/>
        <v>70歳07ヶ月05日</v>
      </c>
      <c r="I65" s="6" t="str">
        <f t="shared" si="3"/>
        <v/>
      </c>
      <c r="J65" s="7" t="str">
        <f t="shared" si="4"/>
        <v>○</v>
      </c>
    </row>
    <row r="66" spans="1:10" x14ac:dyDescent="0.15">
      <c r="A66" s="2">
        <v>20250414101000</v>
      </c>
      <c r="B66" s="4" t="str">
        <f t="shared" si="0"/>
        <v>20250414</v>
      </c>
      <c r="C66" s="2">
        <v>20250329121104</v>
      </c>
      <c r="D66" s="4" t="str">
        <f t="shared" si="1"/>
        <v>20250329</v>
      </c>
      <c r="E66" s="3" t="s">
        <v>4</v>
      </c>
      <c r="F66" s="2">
        <v>481013</v>
      </c>
      <c r="G66" t="str">
        <f t="shared" si="2"/>
        <v>48歳10ヶ月13日</v>
      </c>
      <c r="I66" s="6" t="str">
        <f t="shared" si="3"/>
        <v/>
      </c>
      <c r="J66" s="7" t="str">
        <f t="shared" si="4"/>
        <v>○</v>
      </c>
    </row>
    <row r="67" spans="1:10" x14ac:dyDescent="0.15">
      <c r="A67" s="2">
        <v>20250414105700</v>
      </c>
      <c r="B67" s="4" t="str">
        <f t="shared" ref="B67:B130" si="5">MID(A67,1,8)</f>
        <v>20250414</v>
      </c>
      <c r="C67" s="2">
        <v>20250414094034</v>
      </c>
      <c r="D67" s="4" t="str">
        <f t="shared" ref="D67:D130" si="6">MID(C67,1,8)</f>
        <v>20250414</v>
      </c>
      <c r="E67" s="3" t="s">
        <v>5</v>
      </c>
      <c r="F67" s="2">
        <v>830713</v>
      </c>
      <c r="G67" t="str">
        <f t="shared" ref="G67:G130" si="7">MID(F67,1,2)&amp;"歳"&amp;MID(F67,3,2)&amp;"ヶ月"&amp;MID(F67,5,2)&amp;"日"</f>
        <v>83歳07ヶ月13日</v>
      </c>
      <c r="I67" s="6" t="str">
        <f t="shared" ref="I67:I130" si="8">IF(B67=D67,"○","")</f>
        <v>○</v>
      </c>
      <c r="J67" s="7" t="str">
        <f t="shared" ref="J67:J130" si="9">IF(B67&lt;&gt;D67,"○","")</f>
        <v/>
      </c>
    </row>
    <row r="68" spans="1:10" x14ac:dyDescent="0.15">
      <c r="A68" s="2">
        <v>20250414122500</v>
      </c>
      <c r="B68" s="4" t="str">
        <f t="shared" si="5"/>
        <v>20250414</v>
      </c>
      <c r="C68" s="2">
        <v>20250414115557</v>
      </c>
      <c r="D68" s="4" t="str">
        <f t="shared" si="6"/>
        <v>20250414</v>
      </c>
      <c r="E68" s="3" t="s">
        <v>4</v>
      </c>
      <c r="F68" s="2">
        <v>760625</v>
      </c>
      <c r="G68" t="str">
        <f t="shared" si="7"/>
        <v>76歳06ヶ月25日</v>
      </c>
      <c r="I68" s="6" t="str">
        <f t="shared" si="8"/>
        <v>○</v>
      </c>
      <c r="J68" s="7" t="str">
        <f t="shared" si="9"/>
        <v/>
      </c>
    </row>
    <row r="69" spans="1:10" x14ac:dyDescent="0.15">
      <c r="A69" s="2">
        <v>20250414132300</v>
      </c>
      <c r="B69" s="4" t="str">
        <f t="shared" si="5"/>
        <v>20250414</v>
      </c>
      <c r="C69" s="2">
        <v>20250414130515</v>
      </c>
      <c r="D69" s="4" t="str">
        <f t="shared" si="6"/>
        <v>20250414</v>
      </c>
      <c r="E69" s="3" t="s">
        <v>5</v>
      </c>
      <c r="F69" s="2">
        <v>950404</v>
      </c>
      <c r="G69" t="str">
        <f t="shared" si="7"/>
        <v>95歳04ヶ月04日</v>
      </c>
      <c r="I69" s="6" t="str">
        <f t="shared" si="8"/>
        <v>○</v>
      </c>
      <c r="J69" s="7" t="str">
        <f t="shared" si="9"/>
        <v/>
      </c>
    </row>
    <row r="70" spans="1:10" x14ac:dyDescent="0.15">
      <c r="A70" s="2">
        <v>20250414132900</v>
      </c>
      <c r="B70" s="4" t="str">
        <f t="shared" si="5"/>
        <v>20250414</v>
      </c>
      <c r="C70" s="2">
        <v>20250414115042</v>
      </c>
      <c r="D70" s="4" t="str">
        <f t="shared" si="6"/>
        <v>20250414</v>
      </c>
      <c r="E70" s="3" t="s">
        <v>4</v>
      </c>
      <c r="F70" s="2">
        <v>840030</v>
      </c>
      <c r="G70" t="str">
        <f t="shared" si="7"/>
        <v>84歳00ヶ月30日</v>
      </c>
      <c r="I70" s="6" t="str">
        <f t="shared" si="8"/>
        <v>○</v>
      </c>
      <c r="J70" s="7" t="str">
        <f t="shared" si="9"/>
        <v/>
      </c>
    </row>
    <row r="71" spans="1:10" x14ac:dyDescent="0.15">
      <c r="A71" s="2">
        <v>20250414140700</v>
      </c>
      <c r="B71" s="4" t="str">
        <f t="shared" si="5"/>
        <v>20250414</v>
      </c>
      <c r="C71" s="2">
        <v>20250414134747</v>
      </c>
      <c r="D71" s="4" t="str">
        <f t="shared" si="6"/>
        <v>20250414</v>
      </c>
      <c r="E71" s="3" t="s">
        <v>4</v>
      </c>
      <c r="F71" s="2">
        <v>500503</v>
      </c>
      <c r="G71" t="str">
        <f t="shared" si="7"/>
        <v>50歳05ヶ月03日</v>
      </c>
      <c r="I71" s="6" t="str">
        <f t="shared" si="8"/>
        <v>○</v>
      </c>
      <c r="J71" s="7" t="str">
        <f t="shared" si="9"/>
        <v/>
      </c>
    </row>
    <row r="72" spans="1:10" x14ac:dyDescent="0.15">
      <c r="A72" s="2">
        <v>20250414141600</v>
      </c>
      <c r="B72" s="4" t="str">
        <f t="shared" si="5"/>
        <v>20250414</v>
      </c>
      <c r="C72" s="2">
        <v>20250414130333</v>
      </c>
      <c r="D72" s="4" t="str">
        <f t="shared" si="6"/>
        <v>20250414</v>
      </c>
      <c r="E72" s="3" t="s">
        <v>5</v>
      </c>
      <c r="F72" s="2">
        <v>780215</v>
      </c>
      <c r="G72" t="str">
        <f t="shared" si="7"/>
        <v>78歳02ヶ月15日</v>
      </c>
      <c r="I72" s="6" t="str">
        <f t="shared" si="8"/>
        <v>○</v>
      </c>
      <c r="J72" s="7" t="str">
        <f t="shared" si="9"/>
        <v/>
      </c>
    </row>
    <row r="73" spans="1:10" x14ac:dyDescent="0.15">
      <c r="A73" s="2">
        <v>20250414164400</v>
      </c>
      <c r="B73" s="4" t="str">
        <f t="shared" si="5"/>
        <v>20250414</v>
      </c>
      <c r="C73" s="2">
        <v>20250414151602</v>
      </c>
      <c r="D73" s="4" t="str">
        <f t="shared" si="6"/>
        <v>20250414</v>
      </c>
      <c r="E73" s="3" t="s">
        <v>5</v>
      </c>
      <c r="F73" s="2">
        <v>800605</v>
      </c>
      <c r="G73" t="str">
        <f t="shared" si="7"/>
        <v>80歳06ヶ月05日</v>
      </c>
      <c r="I73" s="6" t="str">
        <f t="shared" si="8"/>
        <v>○</v>
      </c>
      <c r="J73" s="7" t="str">
        <f t="shared" si="9"/>
        <v/>
      </c>
    </row>
    <row r="74" spans="1:10" x14ac:dyDescent="0.15">
      <c r="A74" s="2">
        <v>20250414173500</v>
      </c>
      <c r="B74" s="4" t="str">
        <f t="shared" si="5"/>
        <v>20250414</v>
      </c>
      <c r="C74" s="2">
        <v>20250414151415</v>
      </c>
      <c r="D74" s="4" t="str">
        <f t="shared" si="6"/>
        <v>20250414</v>
      </c>
      <c r="E74" s="3" t="s">
        <v>5</v>
      </c>
      <c r="F74" s="2">
        <v>440917</v>
      </c>
      <c r="G74" t="str">
        <f t="shared" si="7"/>
        <v>44歳09ヶ月17日</v>
      </c>
      <c r="I74" s="6" t="str">
        <f t="shared" si="8"/>
        <v>○</v>
      </c>
      <c r="J74" s="7" t="str">
        <f t="shared" si="9"/>
        <v/>
      </c>
    </row>
    <row r="75" spans="1:10" x14ac:dyDescent="0.15">
      <c r="A75" s="2">
        <v>20250415092700</v>
      </c>
      <c r="B75" s="4" t="str">
        <f t="shared" si="5"/>
        <v>20250415</v>
      </c>
      <c r="C75" s="2">
        <v>20250411170648</v>
      </c>
      <c r="D75" s="4" t="str">
        <f t="shared" si="6"/>
        <v>20250411</v>
      </c>
      <c r="E75" s="3" t="s">
        <v>5</v>
      </c>
      <c r="F75" s="2">
        <v>720418</v>
      </c>
      <c r="G75" t="str">
        <f t="shared" si="7"/>
        <v>72歳04ヶ月18日</v>
      </c>
      <c r="I75" s="6" t="str">
        <f t="shared" si="8"/>
        <v/>
      </c>
      <c r="J75" s="7" t="str">
        <f t="shared" si="9"/>
        <v>○</v>
      </c>
    </row>
    <row r="76" spans="1:10" x14ac:dyDescent="0.15">
      <c r="A76" s="2">
        <v>20250415093700</v>
      </c>
      <c r="B76" s="4" t="str">
        <f t="shared" si="5"/>
        <v>20250415</v>
      </c>
      <c r="C76" s="2">
        <v>20250415110345</v>
      </c>
      <c r="D76" s="4" t="str">
        <f t="shared" si="6"/>
        <v>20250415</v>
      </c>
      <c r="E76" s="3" t="s">
        <v>4</v>
      </c>
      <c r="F76" s="2">
        <v>870804</v>
      </c>
      <c r="G76" t="str">
        <f t="shared" si="7"/>
        <v>87歳08ヶ月04日</v>
      </c>
      <c r="I76" s="6" t="str">
        <f t="shared" si="8"/>
        <v>○</v>
      </c>
      <c r="J76" s="7" t="str">
        <f t="shared" si="9"/>
        <v/>
      </c>
    </row>
    <row r="77" spans="1:10" x14ac:dyDescent="0.15">
      <c r="A77" s="2">
        <v>20250415094200</v>
      </c>
      <c r="B77" s="4" t="str">
        <f t="shared" si="5"/>
        <v>20250415</v>
      </c>
      <c r="C77" s="2">
        <v>20250412132022</v>
      </c>
      <c r="D77" s="4" t="str">
        <f t="shared" si="6"/>
        <v>20250412</v>
      </c>
      <c r="E77" s="3" t="s">
        <v>4</v>
      </c>
      <c r="F77" s="2">
        <v>850420</v>
      </c>
      <c r="G77" t="str">
        <f t="shared" si="7"/>
        <v>85歳04ヶ月20日</v>
      </c>
      <c r="I77" s="6" t="str">
        <f t="shared" si="8"/>
        <v/>
      </c>
      <c r="J77" s="7" t="str">
        <f t="shared" si="9"/>
        <v>○</v>
      </c>
    </row>
    <row r="78" spans="1:10" x14ac:dyDescent="0.15">
      <c r="A78" s="2">
        <v>20250415095600</v>
      </c>
      <c r="B78" s="4" t="str">
        <f t="shared" si="5"/>
        <v>20250415</v>
      </c>
      <c r="C78" s="2">
        <v>20250407124121</v>
      </c>
      <c r="D78" s="4" t="str">
        <f t="shared" si="6"/>
        <v>20250407</v>
      </c>
      <c r="E78" s="3" t="s">
        <v>4</v>
      </c>
      <c r="F78" s="2">
        <v>820106</v>
      </c>
      <c r="G78" t="str">
        <f t="shared" si="7"/>
        <v>82歳01ヶ月06日</v>
      </c>
      <c r="I78" s="6" t="str">
        <f t="shared" si="8"/>
        <v/>
      </c>
      <c r="J78" s="7" t="str">
        <f t="shared" si="9"/>
        <v>○</v>
      </c>
    </row>
    <row r="79" spans="1:10" x14ac:dyDescent="0.15">
      <c r="A79" s="2">
        <v>20250415115600</v>
      </c>
      <c r="B79" s="4" t="str">
        <f t="shared" si="5"/>
        <v>20250415</v>
      </c>
      <c r="C79" s="2">
        <v>20250415112145</v>
      </c>
      <c r="D79" s="4" t="str">
        <f t="shared" si="6"/>
        <v>20250415</v>
      </c>
      <c r="E79" s="3" t="s">
        <v>4</v>
      </c>
      <c r="F79" s="2">
        <v>820608</v>
      </c>
      <c r="G79" t="str">
        <f t="shared" si="7"/>
        <v>82歳06ヶ月08日</v>
      </c>
      <c r="I79" s="6" t="str">
        <f t="shared" si="8"/>
        <v>○</v>
      </c>
      <c r="J79" s="7" t="str">
        <f t="shared" si="9"/>
        <v/>
      </c>
    </row>
    <row r="80" spans="1:10" x14ac:dyDescent="0.15">
      <c r="A80" s="2">
        <v>20250415131700</v>
      </c>
      <c r="B80" s="4" t="str">
        <f t="shared" si="5"/>
        <v>20250415</v>
      </c>
      <c r="C80" s="2">
        <v>20250415122939</v>
      </c>
      <c r="D80" s="4" t="str">
        <f t="shared" si="6"/>
        <v>20250415</v>
      </c>
      <c r="E80" s="3" t="s">
        <v>5</v>
      </c>
      <c r="F80" s="2">
        <v>870603</v>
      </c>
      <c r="G80" t="str">
        <f t="shared" si="7"/>
        <v>87歳06ヶ月03日</v>
      </c>
      <c r="I80" s="6" t="str">
        <f t="shared" si="8"/>
        <v>○</v>
      </c>
      <c r="J80" s="7" t="str">
        <f t="shared" si="9"/>
        <v/>
      </c>
    </row>
    <row r="81" spans="1:10" x14ac:dyDescent="0.15">
      <c r="A81" s="2">
        <v>20250416093000</v>
      </c>
      <c r="B81" s="4" t="str">
        <f t="shared" si="5"/>
        <v>20250416</v>
      </c>
      <c r="C81" s="2">
        <v>20250414144917</v>
      </c>
      <c r="D81" s="4" t="str">
        <f t="shared" si="6"/>
        <v>20250414</v>
      </c>
      <c r="E81" s="3" t="s">
        <v>4</v>
      </c>
      <c r="F81" s="2">
        <v>720713</v>
      </c>
      <c r="G81" t="str">
        <f t="shared" si="7"/>
        <v>72歳07ヶ月13日</v>
      </c>
      <c r="I81" s="6" t="str">
        <f t="shared" si="8"/>
        <v/>
      </c>
      <c r="J81" s="7" t="str">
        <f t="shared" si="9"/>
        <v>○</v>
      </c>
    </row>
    <row r="82" spans="1:10" x14ac:dyDescent="0.15">
      <c r="A82" s="2">
        <v>20250416094500</v>
      </c>
      <c r="B82" s="4" t="str">
        <f t="shared" si="5"/>
        <v>20250416</v>
      </c>
      <c r="C82" s="2">
        <v>20250415164721</v>
      </c>
      <c r="D82" s="4" t="str">
        <f t="shared" si="6"/>
        <v>20250415</v>
      </c>
      <c r="E82" s="3" t="s">
        <v>5</v>
      </c>
      <c r="F82" s="2">
        <v>810011</v>
      </c>
      <c r="G82" t="str">
        <f t="shared" si="7"/>
        <v>81歳00ヶ月11日</v>
      </c>
      <c r="I82" s="6" t="str">
        <f t="shared" si="8"/>
        <v/>
      </c>
      <c r="J82" s="7" t="str">
        <f t="shared" si="9"/>
        <v>○</v>
      </c>
    </row>
    <row r="83" spans="1:10" x14ac:dyDescent="0.15">
      <c r="A83" s="2">
        <v>20250416120000</v>
      </c>
      <c r="B83" s="4" t="str">
        <f t="shared" si="5"/>
        <v>20250416</v>
      </c>
      <c r="C83" s="2">
        <v>20250416120522</v>
      </c>
      <c r="D83" s="4" t="str">
        <f t="shared" si="6"/>
        <v>20250416</v>
      </c>
      <c r="E83" s="3" t="s">
        <v>4</v>
      </c>
      <c r="F83" s="2">
        <v>760922</v>
      </c>
      <c r="G83" t="str">
        <f t="shared" si="7"/>
        <v>76歳09ヶ月22日</v>
      </c>
      <c r="I83" s="6" t="str">
        <f t="shared" si="8"/>
        <v>○</v>
      </c>
      <c r="J83" s="7" t="str">
        <f t="shared" si="9"/>
        <v/>
      </c>
    </row>
    <row r="84" spans="1:10" x14ac:dyDescent="0.15">
      <c r="A84" s="2">
        <v>20250416134200</v>
      </c>
      <c r="B84" s="4" t="str">
        <f t="shared" si="5"/>
        <v>20250416</v>
      </c>
      <c r="C84" s="2">
        <v>20250416125103</v>
      </c>
      <c r="D84" s="4" t="str">
        <f t="shared" si="6"/>
        <v>20250416</v>
      </c>
      <c r="E84" s="3" t="s">
        <v>5</v>
      </c>
      <c r="F84" s="2">
        <v>930207</v>
      </c>
      <c r="G84" t="str">
        <f t="shared" si="7"/>
        <v>93歳02ヶ月07日</v>
      </c>
      <c r="I84" s="6" t="str">
        <f t="shared" si="8"/>
        <v>○</v>
      </c>
      <c r="J84" s="7" t="str">
        <f t="shared" si="9"/>
        <v/>
      </c>
    </row>
    <row r="85" spans="1:10" x14ac:dyDescent="0.15">
      <c r="A85" s="2">
        <v>20250416141200</v>
      </c>
      <c r="B85" s="4" t="str">
        <f t="shared" si="5"/>
        <v>20250416</v>
      </c>
      <c r="C85" s="2">
        <v>20250416132406</v>
      </c>
      <c r="D85" s="4" t="str">
        <f t="shared" si="6"/>
        <v>20250416</v>
      </c>
      <c r="E85" s="3" t="s">
        <v>4</v>
      </c>
      <c r="F85" s="2">
        <v>900401</v>
      </c>
      <c r="G85" t="str">
        <f t="shared" si="7"/>
        <v>90歳04ヶ月01日</v>
      </c>
      <c r="I85" s="6" t="str">
        <f t="shared" si="8"/>
        <v>○</v>
      </c>
      <c r="J85" s="7" t="str">
        <f t="shared" si="9"/>
        <v/>
      </c>
    </row>
    <row r="86" spans="1:10" x14ac:dyDescent="0.15">
      <c r="A86" s="2">
        <v>20250416170700</v>
      </c>
      <c r="B86" s="4" t="str">
        <f t="shared" si="5"/>
        <v>20250416</v>
      </c>
      <c r="C86" s="2">
        <v>20250416163717</v>
      </c>
      <c r="D86" s="4" t="str">
        <f t="shared" si="6"/>
        <v>20250416</v>
      </c>
      <c r="E86" s="3" t="s">
        <v>5</v>
      </c>
      <c r="F86" s="2">
        <v>620130</v>
      </c>
      <c r="G86" t="str">
        <f t="shared" si="7"/>
        <v>62歳01ヶ月30日</v>
      </c>
      <c r="I86" s="6" t="str">
        <f t="shared" si="8"/>
        <v>○</v>
      </c>
      <c r="J86" s="7" t="str">
        <f t="shared" si="9"/>
        <v/>
      </c>
    </row>
    <row r="87" spans="1:10" x14ac:dyDescent="0.15">
      <c r="A87" s="2">
        <v>20250416170800</v>
      </c>
      <c r="B87" s="4" t="str">
        <f t="shared" si="5"/>
        <v>20250416</v>
      </c>
      <c r="C87" s="2">
        <v>20250416164020</v>
      </c>
      <c r="D87" s="4" t="str">
        <f t="shared" si="6"/>
        <v>20250416</v>
      </c>
      <c r="E87" s="3" t="s">
        <v>4</v>
      </c>
      <c r="F87" s="2">
        <v>540520</v>
      </c>
      <c r="G87" t="str">
        <f t="shared" si="7"/>
        <v>54歳05ヶ月20日</v>
      </c>
      <c r="I87" s="6" t="str">
        <f t="shared" si="8"/>
        <v>○</v>
      </c>
      <c r="J87" s="7" t="str">
        <f t="shared" si="9"/>
        <v/>
      </c>
    </row>
    <row r="88" spans="1:10" x14ac:dyDescent="0.15">
      <c r="A88" s="2">
        <v>20250416174500</v>
      </c>
      <c r="B88" s="4" t="str">
        <f t="shared" si="5"/>
        <v>20250416</v>
      </c>
      <c r="C88" s="2">
        <v>20250404101548</v>
      </c>
      <c r="D88" s="4" t="str">
        <f t="shared" si="6"/>
        <v>20250404</v>
      </c>
      <c r="E88" s="3" t="s">
        <v>5</v>
      </c>
      <c r="F88" s="2">
        <v>750518</v>
      </c>
      <c r="G88" t="str">
        <f t="shared" si="7"/>
        <v>75歳05ヶ月18日</v>
      </c>
      <c r="I88" s="6" t="str">
        <f t="shared" si="8"/>
        <v/>
      </c>
      <c r="J88" s="7" t="str">
        <f t="shared" si="9"/>
        <v>○</v>
      </c>
    </row>
    <row r="89" spans="1:10" x14ac:dyDescent="0.15">
      <c r="A89" s="2">
        <v>20250417054100</v>
      </c>
      <c r="B89" s="4" t="str">
        <f t="shared" si="5"/>
        <v>20250417</v>
      </c>
      <c r="C89" s="2">
        <v>20250417053420</v>
      </c>
      <c r="D89" s="4" t="str">
        <f t="shared" si="6"/>
        <v>20250417</v>
      </c>
      <c r="E89" s="3" t="s">
        <v>4</v>
      </c>
      <c r="F89" s="2">
        <v>960112</v>
      </c>
      <c r="G89" t="str">
        <f t="shared" si="7"/>
        <v>96歳01ヶ月12日</v>
      </c>
      <c r="I89" s="6" t="str">
        <f t="shared" si="8"/>
        <v>○</v>
      </c>
      <c r="J89" s="7" t="str">
        <f t="shared" si="9"/>
        <v/>
      </c>
    </row>
    <row r="90" spans="1:10" x14ac:dyDescent="0.15">
      <c r="A90" s="2">
        <v>20250417100700</v>
      </c>
      <c r="B90" s="4" t="str">
        <f t="shared" si="5"/>
        <v>20250417</v>
      </c>
      <c r="C90" s="2">
        <v>20250405093655</v>
      </c>
      <c r="D90" s="4" t="str">
        <f t="shared" si="6"/>
        <v>20250405</v>
      </c>
      <c r="E90" s="3" t="s">
        <v>4</v>
      </c>
      <c r="F90" s="2">
        <v>620900</v>
      </c>
      <c r="G90" t="str">
        <f t="shared" si="7"/>
        <v>62歳09ヶ月00日</v>
      </c>
      <c r="I90" s="6" t="str">
        <f t="shared" si="8"/>
        <v/>
      </c>
      <c r="J90" s="7" t="str">
        <f t="shared" si="9"/>
        <v>○</v>
      </c>
    </row>
    <row r="91" spans="1:10" x14ac:dyDescent="0.15">
      <c r="A91" s="2">
        <v>20250417114500</v>
      </c>
      <c r="B91" s="4" t="str">
        <f t="shared" si="5"/>
        <v>20250417</v>
      </c>
      <c r="C91" s="2">
        <v>20250417110743</v>
      </c>
      <c r="D91" s="4" t="str">
        <f t="shared" si="6"/>
        <v>20250417</v>
      </c>
      <c r="E91" s="3" t="s">
        <v>5</v>
      </c>
      <c r="F91" s="2">
        <v>741100</v>
      </c>
      <c r="G91" t="str">
        <f t="shared" si="7"/>
        <v>74歳11ヶ月00日</v>
      </c>
      <c r="I91" s="6" t="str">
        <f t="shared" si="8"/>
        <v>○</v>
      </c>
      <c r="J91" s="7" t="str">
        <f t="shared" si="9"/>
        <v/>
      </c>
    </row>
    <row r="92" spans="1:10" x14ac:dyDescent="0.15">
      <c r="A92" s="2">
        <v>20250417132800</v>
      </c>
      <c r="B92" s="4" t="str">
        <f t="shared" si="5"/>
        <v>20250417</v>
      </c>
      <c r="C92" s="2">
        <v>20250417122455</v>
      </c>
      <c r="D92" s="4" t="str">
        <f t="shared" si="6"/>
        <v>20250417</v>
      </c>
      <c r="E92" s="3" t="s">
        <v>5</v>
      </c>
      <c r="F92" s="2">
        <v>920512</v>
      </c>
      <c r="G92" t="str">
        <f t="shared" si="7"/>
        <v>92歳05ヶ月12日</v>
      </c>
      <c r="I92" s="6" t="str">
        <f t="shared" si="8"/>
        <v>○</v>
      </c>
      <c r="J92" s="7" t="str">
        <f t="shared" si="9"/>
        <v/>
      </c>
    </row>
    <row r="93" spans="1:10" x14ac:dyDescent="0.15">
      <c r="A93" s="2">
        <v>20250417164000</v>
      </c>
      <c r="B93" s="4" t="str">
        <f t="shared" si="5"/>
        <v>20250417</v>
      </c>
      <c r="C93" s="2">
        <v>20250327120543</v>
      </c>
      <c r="D93" s="4" t="str">
        <f t="shared" si="6"/>
        <v>20250327</v>
      </c>
      <c r="E93" s="3" t="s">
        <v>5</v>
      </c>
      <c r="F93" s="2">
        <v>660623</v>
      </c>
      <c r="G93" t="str">
        <f t="shared" si="7"/>
        <v>66歳06ヶ月23日</v>
      </c>
      <c r="I93" s="6" t="str">
        <f t="shared" si="8"/>
        <v/>
      </c>
      <c r="J93" s="7" t="str">
        <f t="shared" si="9"/>
        <v>○</v>
      </c>
    </row>
    <row r="94" spans="1:10" x14ac:dyDescent="0.15">
      <c r="A94" s="2">
        <v>20250417182700</v>
      </c>
      <c r="B94" s="4" t="str">
        <f t="shared" si="5"/>
        <v>20250417</v>
      </c>
      <c r="C94" s="2">
        <v>20250417181134</v>
      </c>
      <c r="D94" s="4" t="str">
        <f t="shared" si="6"/>
        <v>20250417</v>
      </c>
      <c r="E94" s="3" t="s">
        <v>4</v>
      </c>
      <c r="F94" s="2">
        <v>770709</v>
      </c>
      <c r="G94" t="str">
        <f t="shared" si="7"/>
        <v>77歳07ヶ月09日</v>
      </c>
      <c r="I94" s="6" t="str">
        <f t="shared" si="8"/>
        <v>○</v>
      </c>
      <c r="J94" s="7" t="str">
        <f t="shared" si="9"/>
        <v/>
      </c>
    </row>
    <row r="95" spans="1:10" x14ac:dyDescent="0.15">
      <c r="A95" s="2">
        <v>20250418135300</v>
      </c>
      <c r="B95" s="4" t="str">
        <f t="shared" si="5"/>
        <v>20250418</v>
      </c>
      <c r="C95" s="2">
        <v>20250418130917</v>
      </c>
      <c r="D95" s="4" t="str">
        <f t="shared" si="6"/>
        <v>20250418</v>
      </c>
      <c r="E95" s="3" t="s">
        <v>5</v>
      </c>
      <c r="F95" s="2">
        <v>570413</v>
      </c>
      <c r="G95" t="str">
        <f t="shared" si="7"/>
        <v>57歳04ヶ月13日</v>
      </c>
      <c r="I95" s="6" t="str">
        <f t="shared" si="8"/>
        <v>○</v>
      </c>
      <c r="J95" s="7" t="str">
        <f t="shared" si="9"/>
        <v/>
      </c>
    </row>
    <row r="96" spans="1:10" x14ac:dyDescent="0.15">
      <c r="A96" s="2">
        <v>20250418150300</v>
      </c>
      <c r="B96" s="4" t="str">
        <f t="shared" si="5"/>
        <v>20250418</v>
      </c>
      <c r="C96" s="2">
        <v>20250418145457</v>
      </c>
      <c r="D96" s="4" t="str">
        <f t="shared" si="6"/>
        <v>20250418</v>
      </c>
      <c r="E96" s="3" t="s">
        <v>5</v>
      </c>
      <c r="F96" s="2">
        <v>950807</v>
      </c>
      <c r="G96" t="str">
        <f t="shared" si="7"/>
        <v>95歳08ヶ月07日</v>
      </c>
      <c r="I96" s="6" t="str">
        <f t="shared" si="8"/>
        <v>○</v>
      </c>
      <c r="J96" s="7" t="str">
        <f t="shared" si="9"/>
        <v/>
      </c>
    </row>
    <row r="97" spans="1:10" x14ac:dyDescent="0.15">
      <c r="A97" s="2">
        <v>20250418160800</v>
      </c>
      <c r="B97" s="4" t="str">
        <f t="shared" si="5"/>
        <v>20250418</v>
      </c>
      <c r="C97" s="2">
        <v>20250321104605</v>
      </c>
      <c r="D97" s="4" t="str">
        <f t="shared" si="6"/>
        <v>20250321</v>
      </c>
      <c r="E97" s="3" t="s">
        <v>5</v>
      </c>
      <c r="F97" s="2">
        <v>710726</v>
      </c>
      <c r="G97" t="str">
        <f t="shared" si="7"/>
        <v>71歳07ヶ月26日</v>
      </c>
      <c r="I97" s="6" t="str">
        <f t="shared" si="8"/>
        <v/>
      </c>
      <c r="J97" s="7" t="str">
        <f t="shared" si="9"/>
        <v>○</v>
      </c>
    </row>
    <row r="98" spans="1:10" x14ac:dyDescent="0.15">
      <c r="A98" s="2">
        <v>20250418164400</v>
      </c>
      <c r="B98" s="4" t="str">
        <f t="shared" si="5"/>
        <v>20250418</v>
      </c>
      <c r="C98" s="2">
        <v>20250418155416</v>
      </c>
      <c r="D98" s="4" t="str">
        <f t="shared" si="6"/>
        <v>20250418</v>
      </c>
      <c r="E98" s="3" t="s">
        <v>5</v>
      </c>
      <c r="F98" s="2">
        <v>820818</v>
      </c>
      <c r="G98" t="str">
        <f t="shared" si="7"/>
        <v>82歳08ヶ月18日</v>
      </c>
      <c r="I98" s="6" t="str">
        <f t="shared" si="8"/>
        <v>○</v>
      </c>
      <c r="J98" s="7" t="str">
        <f t="shared" si="9"/>
        <v/>
      </c>
    </row>
    <row r="99" spans="1:10" x14ac:dyDescent="0.15">
      <c r="A99" s="2">
        <v>20250419115100</v>
      </c>
      <c r="B99" s="4" t="str">
        <f t="shared" si="5"/>
        <v>20250419</v>
      </c>
      <c r="C99" s="2">
        <v>20250419100828</v>
      </c>
      <c r="D99" s="4" t="str">
        <f t="shared" si="6"/>
        <v>20250419</v>
      </c>
      <c r="E99" s="3" t="s">
        <v>4</v>
      </c>
      <c r="F99" s="2">
        <v>840922</v>
      </c>
      <c r="G99" t="str">
        <f t="shared" si="7"/>
        <v>84歳09ヶ月22日</v>
      </c>
      <c r="I99" s="6" t="str">
        <f t="shared" si="8"/>
        <v>○</v>
      </c>
      <c r="J99" s="7" t="str">
        <f t="shared" si="9"/>
        <v/>
      </c>
    </row>
    <row r="100" spans="1:10" x14ac:dyDescent="0.15">
      <c r="A100" s="2">
        <v>20250419124600</v>
      </c>
      <c r="B100" s="4" t="str">
        <f t="shared" si="5"/>
        <v>20250419</v>
      </c>
      <c r="C100" s="2">
        <v>20250419121057</v>
      </c>
      <c r="D100" s="4" t="str">
        <f t="shared" si="6"/>
        <v>20250419</v>
      </c>
      <c r="E100" s="3" t="s">
        <v>5</v>
      </c>
      <c r="F100" s="2">
        <v>810611</v>
      </c>
      <c r="G100" t="str">
        <f t="shared" si="7"/>
        <v>81歳06ヶ月11日</v>
      </c>
      <c r="I100" s="6" t="str">
        <f t="shared" si="8"/>
        <v>○</v>
      </c>
      <c r="J100" s="7" t="str">
        <f t="shared" si="9"/>
        <v/>
      </c>
    </row>
    <row r="101" spans="1:10" x14ac:dyDescent="0.15">
      <c r="A101" s="2">
        <v>20250419174500</v>
      </c>
      <c r="B101" s="4" t="str">
        <f t="shared" si="5"/>
        <v>20250419</v>
      </c>
      <c r="C101" s="2">
        <v>20250419170300</v>
      </c>
      <c r="D101" s="4" t="str">
        <f t="shared" si="6"/>
        <v>20250419</v>
      </c>
      <c r="E101" s="3" t="s">
        <v>5</v>
      </c>
      <c r="F101" s="2">
        <v>700605</v>
      </c>
      <c r="G101" t="str">
        <f t="shared" si="7"/>
        <v>70歳06ヶ月05日</v>
      </c>
      <c r="I101" s="6" t="str">
        <f t="shared" si="8"/>
        <v>○</v>
      </c>
      <c r="J101" s="7" t="str">
        <f t="shared" si="9"/>
        <v/>
      </c>
    </row>
    <row r="102" spans="1:10" x14ac:dyDescent="0.15">
      <c r="A102" s="2">
        <v>20250421094400</v>
      </c>
      <c r="B102" s="4" t="str">
        <f t="shared" si="5"/>
        <v>20250421</v>
      </c>
      <c r="C102" s="2">
        <v>20250331103905</v>
      </c>
      <c r="D102" s="4" t="str">
        <f t="shared" si="6"/>
        <v>20250331</v>
      </c>
      <c r="E102" s="3" t="s">
        <v>4</v>
      </c>
      <c r="F102" s="2">
        <v>600830</v>
      </c>
      <c r="G102" t="str">
        <f t="shared" si="7"/>
        <v>60歳08ヶ月30日</v>
      </c>
      <c r="I102" s="6" t="str">
        <f t="shared" si="8"/>
        <v/>
      </c>
      <c r="J102" s="7" t="str">
        <f t="shared" si="9"/>
        <v>○</v>
      </c>
    </row>
    <row r="103" spans="1:10" x14ac:dyDescent="0.15">
      <c r="A103" s="2">
        <v>20250421095500</v>
      </c>
      <c r="B103" s="4" t="str">
        <f t="shared" si="5"/>
        <v>20250421</v>
      </c>
      <c r="C103" s="2">
        <v>20250327093544</v>
      </c>
      <c r="D103" s="4" t="str">
        <f t="shared" si="6"/>
        <v>20250327</v>
      </c>
      <c r="E103" s="3" t="s">
        <v>4</v>
      </c>
      <c r="F103" s="2">
        <v>680906</v>
      </c>
      <c r="G103" t="str">
        <f t="shared" si="7"/>
        <v>68歳09ヶ月06日</v>
      </c>
      <c r="I103" s="6" t="str">
        <f t="shared" si="8"/>
        <v/>
      </c>
      <c r="J103" s="7" t="str">
        <f t="shared" si="9"/>
        <v>○</v>
      </c>
    </row>
    <row r="104" spans="1:10" x14ac:dyDescent="0.15">
      <c r="A104" s="2">
        <v>20250421095500</v>
      </c>
      <c r="B104" s="4" t="str">
        <f t="shared" si="5"/>
        <v>20250421</v>
      </c>
      <c r="C104" s="2">
        <v>20250407222434</v>
      </c>
      <c r="D104" s="4" t="str">
        <f t="shared" si="6"/>
        <v>20250407</v>
      </c>
      <c r="E104" s="3" t="s">
        <v>4</v>
      </c>
      <c r="F104" s="2">
        <v>680906</v>
      </c>
      <c r="G104" t="str">
        <f t="shared" si="7"/>
        <v>68歳09ヶ月06日</v>
      </c>
      <c r="I104" s="6" t="str">
        <f t="shared" si="8"/>
        <v/>
      </c>
      <c r="J104" s="7" t="str">
        <f t="shared" si="9"/>
        <v>○</v>
      </c>
    </row>
    <row r="105" spans="1:10" x14ac:dyDescent="0.15">
      <c r="A105" s="2">
        <v>20250421123700</v>
      </c>
      <c r="B105" s="4" t="str">
        <f t="shared" si="5"/>
        <v>20250421</v>
      </c>
      <c r="C105" s="2">
        <v>20250421105951</v>
      </c>
      <c r="D105" s="4" t="str">
        <f t="shared" si="6"/>
        <v>20250421</v>
      </c>
      <c r="E105" s="3" t="s">
        <v>4</v>
      </c>
      <c r="F105" s="2">
        <v>770902</v>
      </c>
      <c r="G105" t="str">
        <f t="shared" si="7"/>
        <v>77歳09ヶ月02日</v>
      </c>
      <c r="I105" s="6" t="str">
        <f t="shared" si="8"/>
        <v>○</v>
      </c>
      <c r="J105" s="7" t="str">
        <f t="shared" si="9"/>
        <v/>
      </c>
    </row>
    <row r="106" spans="1:10" x14ac:dyDescent="0.15">
      <c r="A106" s="2">
        <v>20250421155300</v>
      </c>
      <c r="B106" s="4" t="str">
        <f t="shared" si="5"/>
        <v>20250421</v>
      </c>
      <c r="C106" s="2">
        <v>20250421150302</v>
      </c>
      <c r="D106" s="4" t="str">
        <f t="shared" si="6"/>
        <v>20250421</v>
      </c>
      <c r="E106" s="3" t="s">
        <v>5</v>
      </c>
      <c r="F106" s="2">
        <v>890912</v>
      </c>
      <c r="G106" t="str">
        <f t="shared" si="7"/>
        <v>89歳09ヶ月12日</v>
      </c>
      <c r="I106" s="6" t="str">
        <f t="shared" si="8"/>
        <v>○</v>
      </c>
      <c r="J106" s="7" t="str">
        <f t="shared" si="9"/>
        <v/>
      </c>
    </row>
    <row r="107" spans="1:10" x14ac:dyDescent="0.15">
      <c r="A107" s="2">
        <v>20250421164000</v>
      </c>
      <c r="B107" s="4" t="str">
        <f t="shared" si="5"/>
        <v>20250421</v>
      </c>
      <c r="C107" s="2">
        <v>20250421163133</v>
      </c>
      <c r="D107" s="4" t="str">
        <f t="shared" si="6"/>
        <v>20250421</v>
      </c>
      <c r="E107" s="3" t="s">
        <v>4</v>
      </c>
      <c r="F107" s="2">
        <v>860208</v>
      </c>
      <c r="G107" t="str">
        <f t="shared" si="7"/>
        <v>86歳02ヶ月08日</v>
      </c>
      <c r="I107" s="6" t="str">
        <f t="shared" si="8"/>
        <v>○</v>
      </c>
      <c r="J107" s="7" t="str">
        <f t="shared" si="9"/>
        <v/>
      </c>
    </row>
    <row r="108" spans="1:10" x14ac:dyDescent="0.15">
      <c r="A108" s="2">
        <v>20250422121500</v>
      </c>
      <c r="B108" s="4" t="str">
        <f t="shared" si="5"/>
        <v>20250422</v>
      </c>
      <c r="C108" s="2">
        <v>20250422103956</v>
      </c>
      <c r="D108" s="4" t="str">
        <f t="shared" si="6"/>
        <v>20250422</v>
      </c>
      <c r="E108" s="3" t="s">
        <v>5</v>
      </c>
      <c r="F108" s="2">
        <v>710726</v>
      </c>
      <c r="G108" t="str">
        <f t="shared" si="7"/>
        <v>71歳07ヶ月26日</v>
      </c>
      <c r="I108" s="6" t="str">
        <f t="shared" si="8"/>
        <v>○</v>
      </c>
      <c r="J108" s="7" t="str">
        <f t="shared" si="9"/>
        <v/>
      </c>
    </row>
    <row r="109" spans="1:10" x14ac:dyDescent="0.15">
      <c r="A109" s="2">
        <v>20250422132500</v>
      </c>
      <c r="B109" s="4" t="str">
        <f t="shared" si="5"/>
        <v>20250422</v>
      </c>
      <c r="C109" s="2">
        <v>20250422120604</v>
      </c>
      <c r="D109" s="4" t="str">
        <f t="shared" si="6"/>
        <v>20250422</v>
      </c>
      <c r="E109" s="3" t="s">
        <v>5</v>
      </c>
      <c r="F109" s="2">
        <v>930202</v>
      </c>
      <c r="G109" t="str">
        <f t="shared" si="7"/>
        <v>93歳02ヶ月02日</v>
      </c>
      <c r="I109" s="6" t="str">
        <f t="shared" si="8"/>
        <v>○</v>
      </c>
      <c r="J109" s="7" t="str">
        <f t="shared" si="9"/>
        <v/>
      </c>
    </row>
    <row r="110" spans="1:10" x14ac:dyDescent="0.15">
      <c r="A110" s="2">
        <v>20250422163500</v>
      </c>
      <c r="B110" s="4" t="str">
        <f t="shared" si="5"/>
        <v>20250422</v>
      </c>
      <c r="C110" s="2">
        <v>20250422161109</v>
      </c>
      <c r="D110" s="4" t="str">
        <f t="shared" si="6"/>
        <v>20250422</v>
      </c>
      <c r="E110" s="3" t="s">
        <v>4</v>
      </c>
      <c r="F110" s="2">
        <v>810804</v>
      </c>
      <c r="G110" t="str">
        <f t="shared" si="7"/>
        <v>81歳08ヶ月04日</v>
      </c>
      <c r="I110" s="6" t="str">
        <f t="shared" si="8"/>
        <v>○</v>
      </c>
      <c r="J110" s="7" t="str">
        <f t="shared" si="9"/>
        <v/>
      </c>
    </row>
    <row r="111" spans="1:10" x14ac:dyDescent="0.15">
      <c r="A111" s="2">
        <v>20250423092300</v>
      </c>
      <c r="B111" s="4" t="str">
        <f t="shared" si="5"/>
        <v>20250423</v>
      </c>
      <c r="C111" s="2">
        <v>20250412113027</v>
      </c>
      <c r="D111" s="4" t="str">
        <f t="shared" si="6"/>
        <v>20250412</v>
      </c>
      <c r="E111" s="3" t="s">
        <v>4</v>
      </c>
      <c r="F111" s="2">
        <v>770112</v>
      </c>
      <c r="G111" t="str">
        <f t="shared" si="7"/>
        <v>77歳01ヶ月12日</v>
      </c>
      <c r="I111" s="6" t="str">
        <f t="shared" si="8"/>
        <v/>
      </c>
      <c r="J111" s="7" t="str">
        <f t="shared" si="9"/>
        <v>○</v>
      </c>
    </row>
    <row r="112" spans="1:10" x14ac:dyDescent="0.15">
      <c r="A112" s="2">
        <v>20250423092600</v>
      </c>
      <c r="B112" s="4" t="str">
        <f t="shared" si="5"/>
        <v>20250423</v>
      </c>
      <c r="C112" s="2">
        <v>20250422171556</v>
      </c>
      <c r="D112" s="4" t="str">
        <f t="shared" si="6"/>
        <v>20250422</v>
      </c>
      <c r="E112" s="3" t="s">
        <v>5</v>
      </c>
      <c r="F112" s="2">
        <v>830329</v>
      </c>
      <c r="G112" t="str">
        <f t="shared" si="7"/>
        <v>83歳03ヶ月29日</v>
      </c>
      <c r="I112" s="6" t="str">
        <f t="shared" si="8"/>
        <v/>
      </c>
      <c r="J112" s="7" t="str">
        <f t="shared" si="9"/>
        <v>○</v>
      </c>
    </row>
    <row r="113" spans="1:10" x14ac:dyDescent="0.15">
      <c r="A113" s="2">
        <v>20250423095600</v>
      </c>
      <c r="B113" s="4" t="str">
        <f t="shared" si="5"/>
        <v>20250423</v>
      </c>
      <c r="C113" s="2">
        <v>20250421152250</v>
      </c>
      <c r="D113" s="4" t="str">
        <f t="shared" si="6"/>
        <v>20250421</v>
      </c>
      <c r="E113" s="3" t="s">
        <v>4</v>
      </c>
      <c r="F113" s="2">
        <v>730913</v>
      </c>
      <c r="G113" t="str">
        <f t="shared" si="7"/>
        <v>73歳09ヶ月13日</v>
      </c>
      <c r="I113" s="6" t="str">
        <f t="shared" si="8"/>
        <v/>
      </c>
      <c r="J113" s="7" t="str">
        <f t="shared" si="9"/>
        <v>○</v>
      </c>
    </row>
    <row r="114" spans="1:10" x14ac:dyDescent="0.15">
      <c r="A114" s="2">
        <v>20250423095800</v>
      </c>
      <c r="B114" s="4" t="str">
        <f t="shared" si="5"/>
        <v>20250423</v>
      </c>
      <c r="C114" s="2">
        <v>20250422130537</v>
      </c>
      <c r="D114" s="4" t="str">
        <f t="shared" si="6"/>
        <v>20250422</v>
      </c>
      <c r="E114" s="3" t="s">
        <v>4</v>
      </c>
      <c r="F114" s="2">
        <v>770613</v>
      </c>
      <c r="G114" t="str">
        <f t="shared" si="7"/>
        <v>77歳06ヶ月13日</v>
      </c>
      <c r="I114" s="6" t="str">
        <f t="shared" si="8"/>
        <v/>
      </c>
      <c r="J114" s="7" t="str">
        <f t="shared" si="9"/>
        <v>○</v>
      </c>
    </row>
    <row r="115" spans="1:10" x14ac:dyDescent="0.15">
      <c r="A115" s="2">
        <v>20250423113600</v>
      </c>
      <c r="B115" s="4" t="str">
        <f t="shared" si="5"/>
        <v>20250423</v>
      </c>
      <c r="C115" s="2">
        <v>20250423100218</v>
      </c>
      <c r="D115" s="4" t="str">
        <f t="shared" si="6"/>
        <v>20250423</v>
      </c>
      <c r="E115" s="3" t="s">
        <v>5</v>
      </c>
      <c r="F115" s="2">
        <v>890926</v>
      </c>
      <c r="G115" t="str">
        <f t="shared" si="7"/>
        <v>89歳09ヶ月26日</v>
      </c>
      <c r="I115" s="6" t="str">
        <f t="shared" si="8"/>
        <v>○</v>
      </c>
      <c r="J115" s="7" t="str">
        <f t="shared" si="9"/>
        <v/>
      </c>
    </row>
    <row r="116" spans="1:10" x14ac:dyDescent="0.15">
      <c r="A116" s="2">
        <v>20250423140500</v>
      </c>
      <c r="B116" s="4" t="str">
        <f t="shared" si="5"/>
        <v>20250423</v>
      </c>
      <c r="C116" s="2">
        <v>20250423140109</v>
      </c>
      <c r="D116" s="4" t="str">
        <f t="shared" si="6"/>
        <v>20250423</v>
      </c>
      <c r="E116" s="3" t="s">
        <v>5</v>
      </c>
      <c r="F116" s="2">
        <v>880830</v>
      </c>
      <c r="G116" t="str">
        <f t="shared" si="7"/>
        <v>88歳08ヶ月30日</v>
      </c>
      <c r="I116" s="6" t="str">
        <f t="shared" si="8"/>
        <v>○</v>
      </c>
      <c r="J116" s="7" t="str">
        <f t="shared" si="9"/>
        <v/>
      </c>
    </row>
    <row r="117" spans="1:10" x14ac:dyDescent="0.15">
      <c r="A117" s="2">
        <v>20250423152700</v>
      </c>
      <c r="B117" s="4" t="str">
        <f t="shared" si="5"/>
        <v>20250423</v>
      </c>
      <c r="C117" s="2">
        <v>20250423134455</v>
      </c>
      <c r="D117" s="4" t="str">
        <f t="shared" si="6"/>
        <v>20250423</v>
      </c>
      <c r="E117" s="3" t="s">
        <v>5</v>
      </c>
      <c r="F117" s="2">
        <v>780800</v>
      </c>
      <c r="G117" t="str">
        <f t="shared" si="7"/>
        <v>78歳08ヶ月00日</v>
      </c>
      <c r="I117" s="6" t="str">
        <f t="shared" si="8"/>
        <v>○</v>
      </c>
      <c r="J117" s="7" t="str">
        <f t="shared" si="9"/>
        <v/>
      </c>
    </row>
    <row r="118" spans="1:10" x14ac:dyDescent="0.15">
      <c r="A118" s="2">
        <v>20250423154500</v>
      </c>
      <c r="B118" s="4" t="str">
        <f t="shared" si="5"/>
        <v>20250423</v>
      </c>
      <c r="C118" s="2">
        <v>20250326141356</v>
      </c>
      <c r="D118" s="4" t="str">
        <f t="shared" si="6"/>
        <v>20250326</v>
      </c>
      <c r="E118" s="3" t="s">
        <v>4</v>
      </c>
      <c r="F118" s="2">
        <v>450428</v>
      </c>
      <c r="G118" t="str">
        <f t="shared" si="7"/>
        <v>45歳04ヶ月28日</v>
      </c>
      <c r="I118" s="6" t="str">
        <f t="shared" si="8"/>
        <v/>
      </c>
      <c r="J118" s="7" t="str">
        <f t="shared" si="9"/>
        <v>○</v>
      </c>
    </row>
    <row r="119" spans="1:10" x14ac:dyDescent="0.15">
      <c r="A119" s="2">
        <v>20250423162800</v>
      </c>
      <c r="B119" s="4" t="str">
        <f t="shared" si="5"/>
        <v>20250423</v>
      </c>
      <c r="C119" s="2">
        <v>20250415092733</v>
      </c>
      <c r="D119" s="4" t="str">
        <f t="shared" si="6"/>
        <v>20250415</v>
      </c>
      <c r="E119" s="3" t="s">
        <v>5</v>
      </c>
      <c r="F119" s="2">
        <v>730902</v>
      </c>
      <c r="G119" t="str">
        <f t="shared" si="7"/>
        <v>73歳09ヶ月02日</v>
      </c>
      <c r="I119" s="6" t="str">
        <f t="shared" si="8"/>
        <v/>
      </c>
      <c r="J119" s="7" t="str">
        <f t="shared" si="9"/>
        <v>○</v>
      </c>
    </row>
    <row r="120" spans="1:10" x14ac:dyDescent="0.15">
      <c r="A120" s="2">
        <v>20250424120000</v>
      </c>
      <c r="B120" s="4" t="str">
        <f t="shared" si="5"/>
        <v>20250424</v>
      </c>
      <c r="C120" s="2">
        <v>20250424102650</v>
      </c>
      <c r="D120" s="4" t="str">
        <f t="shared" si="6"/>
        <v>20250424</v>
      </c>
      <c r="E120" s="3" t="s">
        <v>5</v>
      </c>
      <c r="F120" s="2">
        <v>920423</v>
      </c>
      <c r="G120" t="str">
        <f t="shared" si="7"/>
        <v>92歳04ヶ月23日</v>
      </c>
      <c r="I120" s="6" t="str">
        <f t="shared" si="8"/>
        <v>○</v>
      </c>
      <c r="J120" s="7" t="str">
        <f t="shared" si="9"/>
        <v/>
      </c>
    </row>
    <row r="121" spans="1:10" x14ac:dyDescent="0.15">
      <c r="A121" s="2">
        <v>20250424123600</v>
      </c>
      <c r="B121" s="4" t="str">
        <f t="shared" si="5"/>
        <v>20250424</v>
      </c>
      <c r="C121" s="2">
        <v>20250424121807</v>
      </c>
      <c r="D121" s="4" t="str">
        <f t="shared" si="6"/>
        <v>20250424</v>
      </c>
      <c r="E121" s="3" t="s">
        <v>4</v>
      </c>
      <c r="F121" s="2">
        <v>740228</v>
      </c>
      <c r="G121" t="str">
        <f t="shared" si="7"/>
        <v>74歳02ヶ月28日</v>
      </c>
      <c r="I121" s="6" t="str">
        <f t="shared" si="8"/>
        <v>○</v>
      </c>
      <c r="J121" s="7" t="str">
        <f t="shared" si="9"/>
        <v/>
      </c>
    </row>
    <row r="122" spans="1:10" x14ac:dyDescent="0.15">
      <c r="A122" s="2">
        <v>20250424123800</v>
      </c>
      <c r="B122" s="4" t="str">
        <f t="shared" si="5"/>
        <v>20250424</v>
      </c>
      <c r="C122" s="2">
        <v>20250424112807</v>
      </c>
      <c r="D122" s="4" t="str">
        <f t="shared" si="6"/>
        <v>20250424</v>
      </c>
      <c r="E122" s="3" t="s">
        <v>5</v>
      </c>
      <c r="F122" s="2">
        <v>960314</v>
      </c>
      <c r="G122" t="str">
        <f t="shared" si="7"/>
        <v>96歳03ヶ月14日</v>
      </c>
      <c r="I122" s="6" t="str">
        <f t="shared" si="8"/>
        <v>○</v>
      </c>
      <c r="J122" s="7" t="str">
        <f t="shared" si="9"/>
        <v/>
      </c>
    </row>
    <row r="123" spans="1:10" x14ac:dyDescent="0.15">
      <c r="A123" s="2">
        <v>20250424132200</v>
      </c>
      <c r="B123" s="4" t="str">
        <f t="shared" si="5"/>
        <v>20250424</v>
      </c>
      <c r="C123" s="2">
        <v>20250424125119</v>
      </c>
      <c r="D123" s="4" t="str">
        <f t="shared" si="6"/>
        <v>20250424</v>
      </c>
      <c r="E123" s="3" t="s">
        <v>5</v>
      </c>
      <c r="F123" s="2">
        <v>760810</v>
      </c>
      <c r="G123" t="str">
        <f t="shared" si="7"/>
        <v>76歳08ヶ月10日</v>
      </c>
      <c r="I123" s="6" t="str">
        <f t="shared" si="8"/>
        <v>○</v>
      </c>
      <c r="J123" s="7" t="str">
        <f t="shared" si="9"/>
        <v/>
      </c>
    </row>
    <row r="124" spans="1:10" x14ac:dyDescent="0.15">
      <c r="A124" s="2">
        <v>20250424143600</v>
      </c>
      <c r="B124" s="4" t="str">
        <f t="shared" si="5"/>
        <v>20250424</v>
      </c>
      <c r="C124" s="2">
        <v>20250409144531</v>
      </c>
      <c r="D124" s="4" t="str">
        <f t="shared" si="6"/>
        <v>20250409</v>
      </c>
      <c r="E124" s="3" t="s">
        <v>5</v>
      </c>
      <c r="F124" s="2">
        <v>520324</v>
      </c>
      <c r="G124" t="str">
        <f t="shared" si="7"/>
        <v>52歳03ヶ月24日</v>
      </c>
      <c r="I124" s="6" t="str">
        <f t="shared" si="8"/>
        <v/>
      </c>
      <c r="J124" s="7" t="str">
        <f t="shared" si="9"/>
        <v>○</v>
      </c>
    </row>
    <row r="125" spans="1:10" x14ac:dyDescent="0.15">
      <c r="A125" s="2">
        <v>20250424152900</v>
      </c>
      <c r="B125" s="4" t="str">
        <f t="shared" si="5"/>
        <v>20250424</v>
      </c>
      <c r="C125" s="2">
        <v>20250403102853</v>
      </c>
      <c r="D125" s="4" t="str">
        <f t="shared" si="6"/>
        <v>20250403</v>
      </c>
      <c r="E125" s="3" t="s">
        <v>4</v>
      </c>
      <c r="F125" s="2">
        <v>910214</v>
      </c>
      <c r="G125" t="str">
        <f t="shared" si="7"/>
        <v>91歳02ヶ月14日</v>
      </c>
      <c r="I125" s="6" t="str">
        <f t="shared" si="8"/>
        <v/>
      </c>
      <c r="J125" s="7" t="str">
        <f t="shared" si="9"/>
        <v>○</v>
      </c>
    </row>
    <row r="126" spans="1:10" x14ac:dyDescent="0.15">
      <c r="A126" s="2">
        <v>20250424155300</v>
      </c>
      <c r="B126" s="4" t="str">
        <f t="shared" si="5"/>
        <v>20250424</v>
      </c>
      <c r="C126" s="2">
        <v>20250412093307</v>
      </c>
      <c r="D126" s="4" t="str">
        <f t="shared" si="6"/>
        <v>20250412</v>
      </c>
      <c r="E126" s="3" t="s">
        <v>5</v>
      </c>
      <c r="F126" s="2">
        <v>670101</v>
      </c>
      <c r="G126" t="str">
        <f t="shared" si="7"/>
        <v>67歳01ヶ月01日</v>
      </c>
      <c r="I126" s="6" t="str">
        <f t="shared" si="8"/>
        <v/>
      </c>
      <c r="J126" s="7" t="str">
        <f t="shared" si="9"/>
        <v>○</v>
      </c>
    </row>
    <row r="127" spans="1:10" x14ac:dyDescent="0.15">
      <c r="A127" s="2">
        <v>20250424171600</v>
      </c>
      <c r="B127" s="4" t="str">
        <f t="shared" si="5"/>
        <v>20250424</v>
      </c>
      <c r="C127" s="2">
        <v>20250424170403</v>
      </c>
      <c r="D127" s="4" t="str">
        <f t="shared" si="6"/>
        <v>20250424</v>
      </c>
      <c r="E127" s="3" t="s">
        <v>5</v>
      </c>
      <c r="F127" s="2">
        <v>1010318</v>
      </c>
      <c r="G127" t="str">
        <f t="shared" si="7"/>
        <v>10歳10ヶ月31日</v>
      </c>
      <c r="I127" s="6" t="str">
        <f t="shared" si="8"/>
        <v>○</v>
      </c>
      <c r="J127" s="7" t="str">
        <f t="shared" si="9"/>
        <v/>
      </c>
    </row>
    <row r="128" spans="1:10" x14ac:dyDescent="0.15">
      <c r="A128" s="2">
        <v>20250425133400</v>
      </c>
      <c r="B128" s="4" t="str">
        <f t="shared" si="5"/>
        <v>20250425</v>
      </c>
      <c r="C128" s="2">
        <v>20250425120211</v>
      </c>
      <c r="D128" s="4" t="str">
        <f t="shared" si="6"/>
        <v>20250425</v>
      </c>
      <c r="E128" s="3" t="s">
        <v>5</v>
      </c>
      <c r="F128" s="2">
        <v>740502</v>
      </c>
      <c r="G128" t="str">
        <f t="shared" si="7"/>
        <v>74歳05ヶ月02日</v>
      </c>
      <c r="I128" s="6" t="str">
        <f t="shared" si="8"/>
        <v>○</v>
      </c>
      <c r="J128" s="7" t="str">
        <f t="shared" si="9"/>
        <v/>
      </c>
    </row>
    <row r="129" spans="1:10" x14ac:dyDescent="0.15">
      <c r="A129" s="2">
        <v>20250425140800</v>
      </c>
      <c r="B129" s="4" t="str">
        <f t="shared" si="5"/>
        <v>20250425</v>
      </c>
      <c r="C129" s="2">
        <v>20250425125245</v>
      </c>
      <c r="D129" s="4" t="str">
        <f t="shared" si="6"/>
        <v>20250425</v>
      </c>
      <c r="E129" s="3" t="s">
        <v>5</v>
      </c>
      <c r="F129" s="2">
        <v>500717</v>
      </c>
      <c r="G129" t="str">
        <f t="shared" si="7"/>
        <v>50歳07ヶ月17日</v>
      </c>
      <c r="I129" s="6" t="str">
        <f t="shared" si="8"/>
        <v>○</v>
      </c>
      <c r="J129" s="7" t="str">
        <f t="shared" si="9"/>
        <v/>
      </c>
    </row>
    <row r="130" spans="1:10" x14ac:dyDescent="0.15">
      <c r="A130" s="2">
        <v>20250425141900</v>
      </c>
      <c r="B130" s="4" t="str">
        <f t="shared" si="5"/>
        <v>20250425</v>
      </c>
      <c r="C130" s="2">
        <v>20250425131057</v>
      </c>
      <c r="D130" s="4" t="str">
        <f t="shared" si="6"/>
        <v>20250425</v>
      </c>
      <c r="E130" s="3" t="s">
        <v>4</v>
      </c>
      <c r="F130" s="2">
        <v>950912</v>
      </c>
      <c r="G130" t="str">
        <f t="shared" si="7"/>
        <v>95歳09ヶ月12日</v>
      </c>
      <c r="I130" s="6" t="str">
        <f t="shared" si="8"/>
        <v>○</v>
      </c>
      <c r="J130" s="7" t="str">
        <f t="shared" si="9"/>
        <v/>
      </c>
    </row>
    <row r="131" spans="1:10" x14ac:dyDescent="0.15">
      <c r="A131" s="2">
        <v>20250426104700</v>
      </c>
      <c r="B131" s="4" t="str">
        <f t="shared" ref="B131:B144" si="10">MID(A131,1,8)</f>
        <v>20250426</v>
      </c>
      <c r="C131" s="2">
        <v>20250426091426</v>
      </c>
      <c r="D131" s="4" t="str">
        <f t="shared" ref="D131:D144" si="11">MID(C131,1,8)</f>
        <v>20250426</v>
      </c>
      <c r="E131" s="3" t="s">
        <v>5</v>
      </c>
      <c r="F131" s="2">
        <v>770211</v>
      </c>
      <c r="G131" t="str">
        <f t="shared" ref="G131:G144" si="12">MID(F131,1,2)&amp;"歳"&amp;MID(F131,3,2)&amp;"ヶ月"&amp;MID(F131,5,2)&amp;"日"</f>
        <v>77歳02ヶ月11日</v>
      </c>
      <c r="I131" s="6" t="str">
        <f t="shared" ref="I131:I144" si="13">IF(B131=D131,"○","")</f>
        <v>○</v>
      </c>
      <c r="J131" s="7" t="str">
        <f t="shared" ref="J131:J144" si="14">IF(B131&lt;&gt;D131,"○","")</f>
        <v/>
      </c>
    </row>
    <row r="132" spans="1:10" x14ac:dyDescent="0.15">
      <c r="A132" s="2">
        <v>20250426120000</v>
      </c>
      <c r="B132" s="4" t="str">
        <f t="shared" si="10"/>
        <v>20250426</v>
      </c>
      <c r="C132" s="2">
        <v>20250426104252</v>
      </c>
      <c r="D132" s="4" t="str">
        <f t="shared" si="11"/>
        <v>20250426</v>
      </c>
      <c r="E132" s="3" t="s">
        <v>5</v>
      </c>
      <c r="F132" s="2">
        <v>670030</v>
      </c>
      <c r="G132" t="str">
        <f t="shared" si="12"/>
        <v>67歳00ヶ月30日</v>
      </c>
      <c r="I132" s="6" t="str">
        <f t="shared" si="13"/>
        <v>○</v>
      </c>
      <c r="J132" s="7" t="str">
        <f t="shared" si="14"/>
        <v/>
      </c>
    </row>
    <row r="133" spans="1:10" x14ac:dyDescent="0.15">
      <c r="A133" s="2">
        <v>20250426132200</v>
      </c>
      <c r="B133" s="4" t="str">
        <f t="shared" si="10"/>
        <v>20250426</v>
      </c>
      <c r="C133" s="2">
        <v>20250426110241</v>
      </c>
      <c r="D133" s="4" t="str">
        <f t="shared" si="11"/>
        <v>20250426</v>
      </c>
      <c r="E133" s="3" t="s">
        <v>5</v>
      </c>
      <c r="F133" s="2">
        <v>200623</v>
      </c>
      <c r="G133" t="str">
        <f t="shared" si="12"/>
        <v>20歳06ヶ月23日</v>
      </c>
      <c r="I133" s="6" t="str">
        <f t="shared" si="13"/>
        <v>○</v>
      </c>
      <c r="J133" s="7" t="str">
        <f t="shared" si="14"/>
        <v/>
      </c>
    </row>
    <row r="134" spans="1:10" x14ac:dyDescent="0.15">
      <c r="A134" s="2">
        <v>20250428132800</v>
      </c>
      <c r="B134" s="4" t="str">
        <f t="shared" si="10"/>
        <v>20250428</v>
      </c>
      <c r="C134" s="2">
        <v>20250428130540</v>
      </c>
      <c r="D134" s="4" t="str">
        <f t="shared" si="11"/>
        <v>20250428</v>
      </c>
      <c r="E134" s="3" t="s">
        <v>4</v>
      </c>
      <c r="F134" s="2">
        <v>180615</v>
      </c>
      <c r="G134" t="str">
        <f t="shared" si="12"/>
        <v>18歳06ヶ月15日</v>
      </c>
      <c r="I134" s="6" t="str">
        <f t="shared" si="13"/>
        <v>○</v>
      </c>
      <c r="J134" s="7" t="str">
        <f t="shared" si="14"/>
        <v/>
      </c>
    </row>
    <row r="135" spans="1:10" x14ac:dyDescent="0.15">
      <c r="A135" s="2">
        <v>20250428162000</v>
      </c>
      <c r="B135" s="4" t="str">
        <f t="shared" si="10"/>
        <v>20250428</v>
      </c>
      <c r="C135" s="2">
        <v>20250428150916</v>
      </c>
      <c r="D135" s="4" t="str">
        <f t="shared" si="11"/>
        <v>20250428</v>
      </c>
      <c r="E135" s="3" t="s">
        <v>5</v>
      </c>
      <c r="F135" s="2">
        <v>650127</v>
      </c>
      <c r="G135" t="str">
        <f t="shared" si="12"/>
        <v>65歳01ヶ月27日</v>
      </c>
      <c r="I135" s="6" t="str">
        <f t="shared" si="13"/>
        <v>○</v>
      </c>
      <c r="J135" s="7" t="str">
        <f t="shared" si="14"/>
        <v/>
      </c>
    </row>
    <row r="136" spans="1:10" x14ac:dyDescent="0.15">
      <c r="A136" s="2">
        <v>20250428173500</v>
      </c>
      <c r="B136" s="4" t="str">
        <f t="shared" si="10"/>
        <v>20250428</v>
      </c>
      <c r="C136" s="2">
        <v>20250428163622</v>
      </c>
      <c r="D136" s="4" t="str">
        <f t="shared" si="11"/>
        <v>20250428</v>
      </c>
      <c r="E136" s="3" t="s">
        <v>4</v>
      </c>
      <c r="F136" s="2">
        <v>861126</v>
      </c>
      <c r="G136" t="str">
        <f t="shared" si="12"/>
        <v>86歳11ヶ月26日</v>
      </c>
      <c r="I136" s="6" t="str">
        <f t="shared" si="13"/>
        <v>○</v>
      </c>
      <c r="J136" s="7" t="str">
        <f t="shared" si="14"/>
        <v/>
      </c>
    </row>
    <row r="137" spans="1:10" x14ac:dyDescent="0.15">
      <c r="A137" s="2">
        <v>20250428183000</v>
      </c>
      <c r="B137" s="4" t="str">
        <f t="shared" si="10"/>
        <v>20250428</v>
      </c>
      <c r="C137" s="2">
        <v>20250428173033</v>
      </c>
      <c r="D137" s="4" t="str">
        <f t="shared" si="11"/>
        <v>20250428</v>
      </c>
      <c r="E137" s="3" t="s">
        <v>5</v>
      </c>
      <c r="F137" s="2">
        <v>340320</v>
      </c>
      <c r="G137" t="str">
        <f t="shared" si="12"/>
        <v>34歳03ヶ月20日</v>
      </c>
      <c r="I137" s="6" t="str">
        <f t="shared" si="13"/>
        <v>○</v>
      </c>
      <c r="J137" s="7" t="str">
        <f t="shared" si="14"/>
        <v/>
      </c>
    </row>
    <row r="138" spans="1:10" x14ac:dyDescent="0.15">
      <c r="A138" s="2">
        <v>20250428184200</v>
      </c>
      <c r="B138" s="4" t="str">
        <f t="shared" si="10"/>
        <v>20250428</v>
      </c>
      <c r="C138" s="2">
        <v>20250428183050</v>
      </c>
      <c r="D138" s="4" t="str">
        <f t="shared" si="11"/>
        <v>20250428</v>
      </c>
      <c r="E138" s="3" t="s">
        <v>5</v>
      </c>
      <c r="F138" s="2">
        <v>970103</v>
      </c>
      <c r="G138" t="str">
        <f t="shared" si="12"/>
        <v>97歳01ヶ月03日</v>
      </c>
      <c r="I138" s="6" t="str">
        <f t="shared" si="13"/>
        <v>○</v>
      </c>
      <c r="J138" s="7" t="str">
        <f t="shared" si="14"/>
        <v/>
      </c>
    </row>
    <row r="139" spans="1:10" x14ac:dyDescent="0.15">
      <c r="A139" s="2">
        <v>20250430084700</v>
      </c>
      <c r="B139" s="4" t="str">
        <f t="shared" si="10"/>
        <v>20250430</v>
      </c>
      <c r="C139" s="2">
        <v>20250430083043</v>
      </c>
      <c r="D139" s="4" t="str">
        <f t="shared" si="11"/>
        <v>20250430</v>
      </c>
      <c r="E139" s="3" t="s">
        <v>5</v>
      </c>
      <c r="F139" s="2">
        <v>740720</v>
      </c>
      <c r="G139" t="str">
        <f t="shared" si="12"/>
        <v>74歳07ヶ月20日</v>
      </c>
      <c r="I139" s="6" t="str">
        <f t="shared" si="13"/>
        <v>○</v>
      </c>
      <c r="J139" s="7" t="str">
        <f t="shared" si="14"/>
        <v/>
      </c>
    </row>
    <row r="140" spans="1:10" x14ac:dyDescent="0.15">
      <c r="A140" s="2">
        <v>20250430091500</v>
      </c>
      <c r="B140" s="4" t="str">
        <f t="shared" si="10"/>
        <v>20250430</v>
      </c>
      <c r="C140" s="2">
        <v>20250428094457</v>
      </c>
      <c r="D140" s="4" t="str">
        <f t="shared" si="11"/>
        <v>20250428</v>
      </c>
      <c r="E140" s="3" t="s">
        <v>4</v>
      </c>
      <c r="F140" s="2">
        <v>770409</v>
      </c>
      <c r="G140" t="str">
        <f t="shared" si="12"/>
        <v>77歳04ヶ月09日</v>
      </c>
      <c r="I140" s="6" t="str">
        <f t="shared" si="13"/>
        <v/>
      </c>
      <c r="J140" s="7" t="str">
        <f t="shared" si="14"/>
        <v>○</v>
      </c>
    </row>
    <row r="141" spans="1:10" x14ac:dyDescent="0.15">
      <c r="A141" s="2">
        <v>20250430100300</v>
      </c>
      <c r="B141" s="4" t="str">
        <f t="shared" si="10"/>
        <v>20250430</v>
      </c>
      <c r="C141" s="2">
        <v>20250430071026</v>
      </c>
      <c r="D141" s="4" t="str">
        <f t="shared" si="11"/>
        <v>20250430</v>
      </c>
      <c r="E141" s="3" t="s">
        <v>5</v>
      </c>
      <c r="F141" s="2">
        <v>950826</v>
      </c>
      <c r="G141" t="str">
        <f t="shared" si="12"/>
        <v>95歳08ヶ月26日</v>
      </c>
      <c r="I141" s="6" t="str">
        <f t="shared" si="13"/>
        <v>○</v>
      </c>
      <c r="J141" s="7" t="str">
        <f t="shared" si="14"/>
        <v/>
      </c>
    </row>
    <row r="142" spans="1:10" x14ac:dyDescent="0.15">
      <c r="A142" s="2">
        <v>20250430123000</v>
      </c>
      <c r="B142" s="4" t="str">
        <f t="shared" si="10"/>
        <v>20250430</v>
      </c>
      <c r="C142" s="2">
        <v>20250430115350</v>
      </c>
      <c r="D142" s="4" t="str">
        <f t="shared" si="11"/>
        <v>20250430</v>
      </c>
      <c r="E142" s="3" t="s">
        <v>5</v>
      </c>
      <c r="F142" s="2">
        <v>811120</v>
      </c>
      <c r="G142" t="str">
        <f t="shared" si="12"/>
        <v>81歳11ヶ月20日</v>
      </c>
      <c r="I142" s="6" t="str">
        <f t="shared" si="13"/>
        <v>○</v>
      </c>
      <c r="J142" s="7" t="str">
        <f t="shared" si="14"/>
        <v/>
      </c>
    </row>
    <row r="143" spans="1:10" x14ac:dyDescent="0.15">
      <c r="A143" s="2">
        <v>20250430125500</v>
      </c>
      <c r="B143" s="4" t="str">
        <f t="shared" si="10"/>
        <v>20250430</v>
      </c>
      <c r="C143" s="2">
        <v>20250430125612</v>
      </c>
      <c r="D143" s="4" t="str">
        <f t="shared" si="11"/>
        <v>20250430</v>
      </c>
      <c r="E143" s="3" t="s">
        <v>4</v>
      </c>
      <c r="F143" s="2">
        <v>840527</v>
      </c>
      <c r="G143" t="str">
        <f t="shared" si="12"/>
        <v>84歳05ヶ月27日</v>
      </c>
      <c r="I143" s="6" t="str">
        <f t="shared" si="13"/>
        <v>○</v>
      </c>
      <c r="J143" s="7" t="str">
        <f t="shared" si="14"/>
        <v/>
      </c>
    </row>
    <row r="144" spans="1:10" x14ac:dyDescent="0.15">
      <c r="A144" s="2">
        <v>20250430140300</v>
      </c>
      <c r="B144" s="4" t="str">
        <f t="shared" si="10"/>
        <v>20250430</v>
      </c>
      <c r="C144" s="2">
        <v>20250430122212</v>
      </c>
      <c r="D144" s="4" t="str">
        <f t="shared" si="11"/>
        <v>20250430</v>
      </c>
      <c r="E144" s="3" t="s">
        <v>5</v>
      </c>
      <c r="F144" s="2">
        <v>721117</v>
      </c>
      <c r="G144" t="str">
        <f t="shared" si="12"/>
        <v>72歳11ヶ月17日</v>
      </c>
      <c r="I144" s="6" t="str">
        <f t="shared" si="13"/>
        <v>○</v>
      </c>
      <c r="J144" s="7" t="str">
        <f t="shared" si="14"/>
        <v/>
      </c>
    </row>
  </sheetData>
  <autoFilter ref="A1:L144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クエリ_オーダ_移動【2025年4月】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2025-05-03T06:58:05Z</dcterms:created>
  <dcterms:modified xsi:type="dcterms:W3CDTF">2026-04-17T00:49:34Z</dcterms:modified>
</cp:coreProperties>
</file>