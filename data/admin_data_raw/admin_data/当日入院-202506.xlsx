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73B15F70-61B3-4414-BC8A-734F12DA97A2}" xr6:coauthVersionLast="47" xr6:coauthVersionMax="47" xr10:uidLastSave="{76F29651-287A-4781-9751-8EFDA4BA1247}"/>
  <bookViews>
    <workbookView xWindow="-120" yWindow="-120" windowWidth="29040" windowHeight="15720" xr2:uid="{00000000-000D-0000-FFFF-FFFF00000000}"/>
  </bookViews>
  <sheets>
    <sheet name="クエリ_オーダ_移動【2025年6月】" sheetId="1" r:id="rId1"/>
  </sheets>
  <definedNames>
    <definedName name="_xlnm._FilterDatabase" localSheetId="0" hidden="1">クエリ_オーダ_移動【2025年6月】!$A$1:$G$171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7" i="1" l="1"/>
  <c r="I167" i="1"/>
  <c r="J166" i="1"/>
  <c r="I166" i="1"/>
  <c r="I163" i="1"/>
  <c r="J155" i="1"/>
  <c r="I155" i="1"/>
  <c r="J154" i="1"/>
  <c r="I154" i="1"/>
  <c r="I151" i="1"/>
  <c r="J143" i="1"/>
  <c r="I143" i="1"/>
  <c r="J142" i="1"/>
  <c r="I142" i="1"/>
  <c r="I139" i="1"/>
  <c r="J131" i="1"/>
  <c r="I131" i="1"/>
  <c r="J130" i="1"/>
  <c r="I130" i="1"/>
  <c r="I127" i="1"/>
  <c r="J119" i="1"/>
  <c r="I119" i="1"/>
  <c r="J118" i="1"/>
  <c r="I118" i="1"/>
  <c r="I115" i="1"/>
  <c r="J107" i="1"/>
  <c r="I107" i="1"/>
  <c r="J106" i="1"/>
  <c r="I106" i="1"/>
  <c r="I103" i="1"/>
  <c r="J95" i="1"/>
  <c r="I95" i="1"/>
  <c r="J94" i="1"/>
  <c r="I94" i="1"/>
  <c r="I91" i="1"/>
  <c r="J83" i="1"/>
  <c r="I83" i="1"/>
  <c r="J82" i="1"/>
  <c r="I82" i="1"/>
  <c r="I79" i="1"/>
  <c r="J71" i="1"/>
  <c r="I71" i="1"/>
  <c r="J70" i="1"/>
  <c r="I70" i="1"/>
  <c r="I67" i="1"/>
  <c r="J59" i="1"/>
  <c r="I59" i="1"/>
  <c r="J58" i="1"/>
  <c r="I58" i="1"/>
  <c r="I55" i="1"/>
  <c r="J47" i="1"/>
  <c r="I47" i="1"/>
  <c r="J46" i="1"/>
  <c r="I46" i="1"/>
  <c r="I43" i="1"/>
  <c r="J35" i="1"/>
  <c r="I35" i="1"/>
  <c r="J34" i="1"/>
  <c r="I34" i="1"/>
  <c r="J31" i="1"/>
  <c r="I31" i="1"/>
  <c r="J23" i="1"/>
  <c r="I23" i="1"/>
  <c r="J22" i="1"/>
  <c r="I22" i="1"/>
  <c r="J19" i="1"/>
  <c r="I19" i="1"/>
  <c r="J11" i="1"/>
  <c r="I11" i="1"/>
  <c r="J10" i="1"/>
  <c r="I10" i="1"/>
  <c r="J7" i="1"/>
  <c r="I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2" i="1"/>
  <c r="D3" i="1"/>
  <c r="D4" i="1"/>
  <c r="D5" i="1"/>
  <c r="I5" i="1" s="1"/>
  <c r="D6" i="1"/>
  <c r="I6" i="1" s="1"/>
  <c r="D7" i="1"/>
  <c r="D8" i="1"/>
  <c r="D9" i="1"/>
  <c r="D10" i="1"/>
  <c r="D11" i="1"/>
  <c r="D12" i="1"/>
  <c r="D13" i="1"/>
  <c r="D14" i="1"/>
  <c r="D15" i="1"/>
  <c r="D16" i="1"/>
  <c r="D17" i="1"/>
  <c r="J17" i="1" s="1"/>
  <c r="D18" i="1"/>
  <c r="I18" i="1" s="1"/>
  <c r="D19" i="1"/>
  <c r="D20" i="1"/>
  <c r="D21" i="1"/>
  <c r="D22" i="1"/>
  <c r="D23" i="1"/>
  <c r="D24" i="1"/>
  <c r="D25" i="1"/>
  <c r="D26" i="1"/>
  <c r="D27" i="1"/>
  <c r="D28" i="1"/>
  <c r="D29" i="1"/>
  <c r="J29" i="1" s="1"/>
  <c r="D30" i="1"/>
  <c r="I30" i="1" s="1"/>
  <c r="D31" i="1"/>
  <c r="D32" i="1"/>
  <c r="D33" i="1"/>
  <c r="D34" i="1"/>
  <c r="D35" i="1"/>
  <c r="D36" i="1"/>
  <c r="D37" i="1"/>
  <c r="D38" i="1"/>
  <c r="D39" i="1"/>
  <c r="D40" i="1"/>
  <c r="D41" i="1"/>
  <c r="J41" i="1" s="1"/>
  <c r="D42" i="1"/>
  <c r="I42" i="1" s="1"/>
  <c r="D43" i="1"/>
  <c r="D44" i="1"/>
  <c r="D45" i="1"/>
  <c r="D46" i="1"/>
  <c r="D47" i="1"/>
  <c r="D48" i="1"/>
  <c r="D49" i="1"/>
  <c r="D50" i="1"/>
  <c r="D51" i="1"/>
  <c r="D52" i="1"/>
  <c r="D53" i="1"/>
  <c r="I53" i="1" s="1"/>
  <c r="D54" i="1"/>
  <c r="J54" i="1" s="1"/>
  <c r="D55" i="1"/>
  <c r="D56" i="1"/>
  <c r="D57" i="1"/>
  <c r="D58" i="1"/>
  <c r="D59" i="1"/>
  <c r="D60" i="1"/>
  <c r="D61" i="1"/>
  <c r="D62" i="1"/>
  <c r="D63" i="1"/>
  <c r="D64" i="1"/>
  <c r="D65" i="1"/>
  <c r="J65" i="1" s="1"/>
  <c r="D66" i="1"/>
  <c r="I66" i="1" s="1"/>
  <c r="D67" i="1"/>
  <c r="D68" i="1"/>
  <c r="D69" i="1"/>
  <c r="D70" i="1"/>
  <c r="D71" i="1"/>
  <c r="D72" i="1"/>
  <c r="D73" i="1"/>
  <c r="D74" i="1"/>
  <c r="D75" i="1"/>
  <c r="D76" i="1"/>
  <c r="D77" i="1"/>
  <c r="I77" i="1" s="1"/>
  <c r="D78" i="1"/>
  <c r="I78" i="1" s="1"/>
  <c r="D79" i="1"/>
  <c r="D80" i="1"/>
  <c r="D81" i="1"/>
  <c r="D82" i="1"/>
  <c r="D83" i="1"/>
  <c r="D84" i="1"/>
  <c r="D85" i="1"/>
  <c r="D86" i="1"/>
  <c r="D87" i="1"/>
  <c r="D88" i="1"/>
  <c r="D89" i="1"/>
  <c r="J89" i="1" s="1"/>
  <c r="D90" i="1"/>
  <c r="I90" i="1" s="1"/>
  <c r="D91" i="1"/>
  <c r="D92" i="1"/>
  <c r="D93" i="1"/>
  <c r="D94" i="1"/>
  <c r="D95" i="1"/>
  <c r="D96" i="1"/>
  <c r="D97" i="1"/>
  <c r="D98" i="1"/>
  <c r="D99" i="1"/>
  <c r="D100" i="1"/>
  <c r="D101" i="1"/>
  <c r="J101" i="1" s="1"/>
  <c r="D102" i="1"/>
  <c r="I102" i="1" s="1"/>
  <c r="D103" i="1"/>
  <c r="D104" i="1"/>
  <c r="D105" i="1"/>
  <c r="D106" i="1"/>
  <c r="D107" i="1"/>
  <c r="D108" i="1"/>
  <c r="D109" i="1"/>
  <c r="D110" i="1"/>
  <c r="D111" i="1"/>
  <c r="D112" i="1"/>
  <c r="D113" i="1"/>
  <c r="J113" i="1" s="1"/>
  <c r="D114" i="1"/>
  <c r="I114" i="1" s="1"/>
  <c r="D115" i="1"/>
  <c r="D116" i="1"/>
  <c r="D117" i="1"/>
  <c r="D118" i="1"/>
  <c r="D119" i="1"/>
  <c r="D120" i="1"/>
  <c r="D121" i="1"/>
  <c r="D122" i="1"/>
  <c r="D123" i="1"/>
  <c r="D124" i="1"/>
  <c r="D125" i="1"/>
  <c r="J125" i="1" s="1"/>
  <c r="D126" i="1"/>
  <c r="I126" i="1" s="1"/>
  <c r="D127" i="1"/>
  <c r="D128" i="1"/>
  <c r="D129" i="1"/>
  <c r="D130" i="1"/>
  <c r="D131" i="1"/>
  <c r="D132" i="1"/>
  <c r="D133" i="1"/>
  <c r="D134" i="1"/>
  <c r="D135" i="1"/>
  <c r="D136" i="1"/>
  <c r="D137" i="1"/>
  <c r="J137" i="1" s="1"/>
  <c r="D138" i="1"/>
  <c r="I138" i="1" s="1"/>
  <c r="D139" i="1"/>
  <c r="D140" i="1"/>
  <c r="D141" i="1"/>
  <c r="D142" i="1"/>
  <c r="D143" i="1"/>
  <c r="D144" i="1"/>
  <c r="D145" i="1"/>
  <c r="D146" i="1"/>
  <c r="D147" i="1"/>
  <c r="D148" i="1"/>
  <c r="D149" i="1"/>
  <c r="J149" i="1" s="1"/>
  <c r="D150" i="1"/>
  <c r="I150" i="1" s="1"/>
  <c r="D151" i="1"/>
  <c r="D152" i="1"/>
  <c r="D153" i="1"/>
  <c r="D154" i="1"/>
  <c r="D155" i="1"/>
  <c r="D156" i="1"/>
  <c r="D157" i="1"/>
  <c r="D158" i="1"/>
  <c r="D159" i="1"/>
  <c r="D160" i="1"/>
  <c r="D161" i="1"/>
  <c r="I161" i="1" s="1"/>
  <c r="D162" i="1"/>
  <c r="I162" i="1" s="1"/>
  <c r="D163" i="1"/>
  <c r="D164" i="1"/>
  <c r="D165" i="1"/>
  <c r="D166" i="1"/>
  <c r="D167" i="1"/>
  <c r="D168" i="1"/>
  <c r="D169" i="1"/>
  <c r="D170" i="1"/>
  <c r="D171" i="1"/>
  <c r="D2" i="1"/>
  <c r="B3" i="1"/>
  <c r="J3" i="1" s="1"/>
  <c r="B4" i="1"/>
  <c r="I4" i="1" s="1"/>
  <c r="B5" i="1"/>
  <c r="B6" i="1"/>
  <c r="B7" i="1"/>
  <c r="B8" i="1"/>
  <c r="J8" i="1" s="1"/>
  <c r="B9" i="1"/>
  <c r="J9" i="1" s="1"/>
  <c r="B10" i="1"/>
  <c r="B11" i="1"/>
  <c r="B12" i="1"/>
  <c r="J12" i="1" s="1"/>
  <c r="B13" i="1"/>
  <c r="J13" i="1" s="1"/>
  <c r="B14" i="1"/>
  <c r="J14" i="1" s="1"/>
  <c r="B15" i="1"/>
  <c r="J15" i="1" s="1"/>
  <c r="B16" i="1"/>
  <c r="J16" i="1" s="1"/>
  <c r="B17" i="1"/>
  <c r="B18" i="1"/>
  <c r="B19" i="1"/>
  <c r="B20" i="1"/>
  <c r="J20" i="1" s="1"/>
  <c r="B21" i="1"/>
  <c r="J21" i="1" s="1"/>
  <c r="B22" i="1"/>
  <c r="B23" i="1"/>
  <c r="B24" i="1"/>
  <c r="I24" i="1" s="1"/>
  <c r="B25" i="1"/>
  <c r="J25" i="1" s="1"/>
  <c r="B26" i="1"/>
  <c r="J26" i="1" s="1"/>
  <c r="B27" i="1"/>
  <c r="J27" i="1" s="1"/>
  <c r="B28" i="1"/>
  <c r="J28" i="1" s="1"/>
  <c r="B29" i="1"/>
  <c r="B30" i="1"/>
  <c r="B31" i="1"/>
  <c r="B32" i="1"/>
  <c r="J32" i="1" s="1"/>
  <c r="B33" i="1"/>
  <c r="J33" i="1" s="1"/>
  <c r="B34" i="1"/>
  <c r="B35" i="1"/>
  <c r="B36" i="1"/>
  <c r="J36" i="1" s="1"/>
  <c r="B37" i="1"/>
  <c r="J37" i="1" s="1"/>
  <c r="B38" i="1"/>
  <c r="J38" i="1" s="1"/>
  <c r="B39" i="1"/>
  <c r="J39" i="1" s="1"/>
  <c r="B40" i="1"/>
  <c r="I40" i="1" s="1"/>
  <c r="B41" i="1"/>
  <c r="B42" i="1"/>
  <c r="B43" i="1"/>
  <c r="J43" i="1" s="1"/>
  <c r="B44" i="1"/>
  <c r="J44" i="1" s="1"/>
  <c r="B45" i="1"/>
  <c r="J45" i="1" s="1"/>
  <c r="B46" i="1"/>
  <c r="B47" i="1"/>
  <c r="B48" i="1"/>
  <c r="I48" i="1" s="1"/>
  <c r="B49" i="1"/>
  <c r="J49" i="1" s="1"/>
  <c r="B50" i="1"/>
  <c r="J50" i="1" s="1"/>
  <c r="B51" i="1"/>
  <c r="J51" i="1" s="1"/>
  <c r="B52" i="1"/>
  <c r="I52" i="1" s="1"/>
  <c r="B53" i="1"/>
  <c r="B54" i="1"/>
  <c r="B55" i="1"/>
  <c r="J55" i="1" s="1"/>
  <c r="B56" i="1"/>
  <c r="J56" i="1" s="1"/>
  <c r="B57" i="1"/>
  <c r="J57" i="1" s="1"/>
  <c r="B58" i="1"/>
  <c r="B59" i="1"/>
  <c r="B60" i="1"/>
  <c r="I60" i="1" s="1"/>
  <c r="B61" i="1"/>
  <c r="J61" i="1" s="1"/>
  <c r="B62" i="1"/>
  <c r="J62" i="1" s="1"/>
  <c r="B63" i="1"/>
  <c r="J63" i="1" s="1"/>
  <c r="B64" i="1"/>
  <c r="I64" i="1" s="1"/>
  <c r="B65" i="1"/>
  <c r="B66" i="1"/>
  <c r="B67" i="1"/>
  <c r="J67" i="1" s="1"/>
  <c r="B68" i="1"/>
  <c r="J68" i="1" s="1"/>
  <c r="B69" i="1"/>
  <c r="J69" i="1" s="1"/>
  <c r="B70" i="1"/>
  <c r="B71" i="1"/>
  <c r="B72" i="1"/>
  <c r="J72" i="1" s="1"/>
  <c r="B73" i="1"/>
  <c r="J73" i="1" s="1"/>
  <c r="B74" i="1"/>
  <c r="J74" i="1" s="1"/>
  <c r="B75" i="1"/>
  <c r="J75" i="1" s="1"/>
  <c r="B76" i="1"/>
  <c r="J76" i="1" s="1"/>
  <c r="B77" i="1"/>
  <c r="B78" i="1"/>
  <c r="B79" i="1"/>
  <c r="J79" i="1" s="1"/>
  <c r="B80" i="1"/>
  <c r="J80" i="1" s="1"/>
  <c r="B81" i="1"/>
  <c r="J81" i="1" s="1"/>
  <c r="B82" i="1"/>
  <c r="B83" i="1"/>
  <c r="B84" i="1"/>
  <c r="I84" i="1" s="1"/>
  <c r="B85" i="1"/>
  <c r="J85" i="1" s="1"/>
  <c r="B86" i="1"/>
  <c r="J86" i="1" s="1"/>
  <c r="B87" i="1"/>
  <c r="J87" i="1" s="1"/>
  <c r="B88" i="1"/>
  <c r="J88" i="1" s="1"/>
  <c r="B89" i="1"/>
  <c r="B90" i="1"/>
  <c r="B91" i="1"/>
  <c r="J91" i="1" s="1"/>
  <c r="B92" i="1"/>
  <c r="J92" i="1" s="1"/>
  <c r="B93" i="1"/>
  <c r="J93" i="1" s="1"/>
  <c r="B94" i="1"/>
  <c r="B95" i="1"/>
  <c r="B96" i="1"/>
  <c r="J96" i="1" s="1"/>
  <c r="B97" i="1"/>
  <c r="J97" i="1" s="1"/>
  <c r="B98" i="1"/>
  <c r="J98" i="1" s="1"/>
  <c r="B99" i="1"/>
  <c r="J99" i="1" s="1"/>
  <c r="B100" i="1"/>
  <c r="I100" i="1" s="1"/>
  <c r="B101" i="1"/>
  <c r="B102" i="1"/>
  <c r="B103" i="1"/>
  <c r="J103" i="1" s="1"/>
  <c r="B104" i="1"/>
  <c r="J104" i="1" s="1"/>
  <c r="B105" i="1"/>
  <c r="J105" i="1" s="1"/>
  <c r="B106" i="1"/>
  <c r="B107" i="1"/>
  <c r="B108" i="1"/>
  <c r="I108" i="1" s="1"/>
  <c r="B109" i="1"/>
  <c r="J109" i="1" s="1"/>
  <c r="B110" i="1"/>
  <c r="J110" i="1" s="1"/>
  <c r="B111" i="1"/>
  <c r="J111" i="1" s="1"/>
  <c r="B112" i="1"/>
  <c r="J112" i="1" s="1"/>
  <c r="B113" i="1"/>
  <c r="B114" i="1"/>
  <c r="B115" i="1"/>
  <c r="J115" i="1" s="1"/>
  <c r="B116" i="1"/>
  <c r="J116" i="1" s="1"/>
  <c r="B117" i="1"/>
  <c r="J117" i="1" s="1"/>
  <c r="B118" i="1"/>
  <c r="B119" i="1"/>
  <c r="B120" i="1"/>
  <c r="J120" i="1" s="1"/>
  <c r="B121" i="1"/>
  <c r="J121" i="1" s="1"/>
  <c r="B122" i="1"/>
  <c r="J122" i="1" s="1"/>
  <c r="B123" i="1"/>
  <c r="J123" i="1" s="1"/>
  <c r="B124" i="1"/>
  <c r="J124" i="1" s="1"/>
  <c r="B125" i="1"/>
  <c r="B126" i="1"/>
  <c r="B127" i="1"/>
  <c r="J127" i="1" s="1"/>
  <c r="B128" i="1"/>
  <c r="J128" i="1" s="1"/>
  <c r="B129" i="1"/>
  <c r="J129" i="1" s="1"/>
  <c r="B130" i="1"/>
  <c r="B131" i="1"/>
  <c r="B132" i="1"/>
  <c r="J132" i="1" s="1"/>
  <c r="B133" i="1"/>
  <c r="J133" i="1" s="1"/>
  <c r="B134" i="1"/>
  <c r="J134" i="1" s="1"/>
  <c r="B135" i="1"/>
  <c r="J135" i="1" s="1"/>
  <c r="B136" i="1"/>
  <c r="I136" i="1" s="1"/>
  <c r="B137" i="1"/>
  <c r="B138" i="1"/>
  <c r="B139" i="1"/>
  <c r="J139" i="1" s="1"/>
  <c r="B140" i="1"/>
  <c r="J140" i="1" s="1"/>
  <c r="B141" i="1"/>
  <c r="J141" i="1" s="1"/>
  <c r="B142" i="1"/>
  <c r="B143" i="1"/>
  <c r="B144" i="1"/>
  <c r="J144" i="1" s="1"/>
  <c r="B145" i="1"/>
  <c r="J145" i="1" s="1"/>
  <c r="B146" i="1"/>
  <c r="J146" i="1" s="1"/>
  <c r="B147" i="1"/>
  <c r="J147" i="1" s="1"/>
  <c r="B148" i="1"/>
  <c r="J148" i="1" s="1"/>
  <c r="B149" i="1"/>
  <c r="B150" i="1"/>
  <c r="B151" i="1"/>
  <c r="J151" i="1" s="1"/>
  <c r="B152" i="1"/>
  <c r="J152" i="1" s="1"/>
  <c r="B153" i="1"/>
  <c r="J153" i="1" s="1"/>
  <c r="B154" i="1"/>
  <c r="B155" i="1"/>
  <c r="B156" i="1"/>
  <c r="J156" i="1" s="1"/>
  <c r="B157" i="1"/>
  <c r="J157" i="1" s="1"/>
  <c r="B158" i="1"/>
  <c r="J158" i="1" s="1"/>
  <c r="B159" i="1"/>
  <c r="J159" i="1" s="1"/>
  <c r="B160" i="1"/>
  <c r="J160" i="1" s="1"/>
  <c r="B161" i="1"/>
  <c r="B162" i="1"/>
  <c r="B163" i="1"/>
  <c r="J163" i="1" s="1"/>
  <c r="B164" i="1"/>
  <c r="J164" i="1" s="1"/>
  <c r="B165" i="1"/>
  <c r="J165" i="1" s="1"/>
  <c r="B166" i="1"/>
  <c r="B167" i="1"/>
  <c r="B168" i="1"/>
  <c r="I168" i="1" s="1"/>
  <c r="B169" i="1"/>
  <c r="J169" i="1" s="1"/>
  <c r="B170" i="1"/>
  <c r="J170" i="1" s="1"/>
  <c r="B171" i="1"/>
  <c r="J171" i="1" s="1"/>
  <c r="B2" i="1"/>
  <c r="J2" i="1" s="1"/>
  <c r="J136" i="1" l="1"/>
  <c r="I149" i="1"/>
  <c r="J40" i="1"/>
  <c r="I113" i="1"/>
  <c r="J53" i="1"/>
  <c r="J77" i="1"/>
  <c r="I12" i="1"/>
  <c r="I36" i="1"/>
  <c r="I54" i="1"/>
  <c r="I72" i="1"/>
  <c r="I96" i="1"/>
  <c r="I120" i="1"/>
  <c r="I132" i="1"/>
  <c r="I144" i="1"/>
  <c r="I156" i="1"/>
  <c r="J6" i="1"/>
  <c r="J18" i="1"/>
  <c r="J24" i="1"/>
  <c r="J30" i="1"/>
  <c r="J42" i="1"/>
  <c r="J48" i="1"/>
  <c r="J60" i="1"/>
  <c r="J66" i="1"/>
  <c r="J78" i="1"/>
  <c r="J84" i="1"/>
  <c r="J90" i="1"/>
  <c r="J102" i="1"/>
  <c r="J108" i="1"/>
  <c r="J114" i="1"/>
  <c r="J126" i="1"/>
  <c r="J138" i="1"/>
  <c r="J150" i="1"/>
  <c r="J162" i="1"/>
  <c r="J168" i="1"/>
  <c r="I148" i="1"/>
  <c r="J52" i="1"/>
  <c r="I13" i="1"/>
  <c r="I25" i="1"/>
  <c r="I37" i="1"/>
  <c r="I49" i="1"/>
  <c r="I61" i="1"/>
  <c r="I73" i="1"/>
  <c r="I85" i="1"/>
  <c r="I97" i="1"/>
  <c r="I109" i="1"/>
  <c r="I121" i="1"/>
  <c r="I133" i="1"/>
  <c r="I145" i="1"/>
  <c r="I157" i="1"/>
  <c r="I169" i="1"/>
  <c r="I76" i="1"/>
  <c r="I88" i="1"/>
  <c r="I112" i="1"/>
  <c r="J4" i="1"/>
  <c r="J64" i="1"/>
  <c r="J100" i="1"/>
  <c r="I17" i="1"/>
  <c r="I41" i="1"/>
  <c r="I89" i="1"/>
  <c r="I101" i="1"/>
  <c r="J5" i="1"/>
  <c r="J1" i="1" s="1"/>
  <c r="J161" i="1"/>
  <c r="I16" i="1"/>
  <c r="I28" i="1"/>
  <c r="I124" i="1"/>
  <c r="I160" i="1"/>
  <c r="I29" i="1"/>
  <c r="I65" i="1"/>
  <c r="I125" i="1"/>
  <c r="I137" i="1"/>
  <c r="I2" i="1"/>
  <c r="I8" i="1"/>
  <c r="I14" i="1"/>
  <c r="I20" i="1"/>
  <c r="I26" i="1"/>
  <c r="I32" i="1"/>
  <c r="I38" i="1"/>
  <c r="I44" i="1"/>
  <c r="I50" i="1"/>
  <c r="I56" i="1"/>
  <c r="I62" i="1"/>
  <c r="I68" i="1"/>
  <c r="I74" i="1"/>
  <c r="I80" i="1"/>
  <c r="I86" i="1"/>
  <c r="I92" i="1"/>
  <c r="I98" i="1"/>
  <c r="I104" i="1"/>
  <c r="I110" i="1"/>
  <c r="I116" i="1"/>
  <c r="I122" i="1"/>
  <c r="I128" i="1"/>
  <c r="I134" i="1"/>
  <c r="I140" i="1"/>
  <c r="I146" i="1"/>
  <c r="I152" i="1"/>
  <c r="I158" i="1"/>
  <c r="I164" i="1"/>
  <c r="I170" i="1"/>
  <c r="I3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147" i="1"/>
  <c r="I153" i="1"/>
  <c r="I159" i="1"/>
  <c r="I165" i="1"/>
  <c r="I171" i="1"/>
  <c r="I1" i="1" l="1"/>
</calcChain>
</file>

<file path=xl/sharedStrings.xml><?xml version="1.0" encoding="utf-8"?>
<sst xmlns="http://schemas.openxmlformats.org/spreadsheetml/2006/main" count="177" uniqueCount="7">
  <si>
    <t>入院日</t>
  </si>
  <si>
    <t>登録日</t>
  </si>
  <si>
    <t>病棟名称</t>
  </si>
  <si>
    <t>患者年齢</t>
  </si>
  <si>
    <t>５Ｆ病棟</t>
  </si>
  <si>
    <t>６Ｆ病棟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</si>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</sst>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7.875" customWidth="1"/>
    <col min="3" max="3" width="15.75" hidden="1" customWidth="1"/>
    <col min="4" max="4" width="13.12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当日：103件</v>
      </c>
      <c r="J1" s="2" t="str">
        <f>"予定："&amp;COUNTIF(J2:J300,"○")&amp;"件"</f>
        <v>予定：67件</v>
      </c>
    </row>
    <row r="2" spans="1:10" x14ac:dyDescent="0.15">
      <c r="A2" s="5">
        <v>20250602065400</v>
      </c>
      <c r="B2" s="5" t="str">
        <f>MID(A2,1,8)</f>
        <v>20250602</v>
      </c>
      <c r="C2" s="5">
        <v>20250618114125</v>
      </c>
      <c r="D2" s="5" t="str">
        <f>MID(C2,1,8)</f>
        <v>20250618</v>
      </c>
      <c r="E2" s="6" t="s">
        <v>4</v>
      </c>
      <c r="F2" s="5">
        <v>860223</v>
      </c>
      <c r="G2" s="7" t="str">
        <f>MID(F2,1,2)&amp;"歳"&amp;MID(F2,3,2)&amp;"ヶ月"&amp;MID(F2,5,2)&amp;"日"</f>
        <v>86歳02ヶ月23日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20250602065400</v>
      </c>
      <c r="B3" s="5" t="str">
        <f t="shared" ref="B3:B66" si="2">MID(A3,1,8)</f>
        <v>20250602</v>
      </c>
      <c r="C3" s="5">
        <v>20250602061916</v>
      </c>
      <c r="D3" s="5" t="str">
        <f t="shared" ref="D3:D66" si="3">MID(C3,1,8)</f>
        <v>20250602</v>
      </c>
      <c r="E3" s="6" t="s">
        <v>4</v>
      </c>
      <c r="F3" s="5">
        <v>860223</v>
      </c>
      <c r="G3" s="7" t="str">
        <f t="shared" ref="G3:G66" si="4">MID(F3,1,2)&amp;"歳"&amp;MID(F3,3,2)&amp;"ヶ月"&amp;MID(F3,5,2)&amp;"日"</f>
        <v>86歳02ヶ月23日</v>
      </c>
      <c r="I3" s="3" t="str">
        <f t="shared" si="0"/>
        <v>○</v>
      </c>
      <c r="J3" s="4" t="str">
        <f t="shared" si="1"/>
        <v/>
      </c>
    </row>
    <row r="4" spans="1:10" x14ac:dyDescent="0.15">
      <c r="A4" s="5">
        <v>20250602100000</v>
      </c>
      <c r="B4" s="5" t="str">
        <f t="shared" si="2"/>
        <v>20250602</v>
      </c>
      <c r="C4" s="5">
        <v>20250519120919</v>
      </c>
      <c r="D4" s="5" t="str">
        <f t="shared" si="3"/>
        <v>20250519</v>
      </c>
      <c r="E4" s="6" t="s">
        <v>4</v>
      </c>
      <c r="F4" s="5">
        <v>621028</v>
      </c>
      <c r="G4" s="7" t="str">
        <f t="shared" si="4"/>
        <v>62歳10ヶ月28日</v>
      </c>
      <c r="I4" s="3" t="str">
        <f t="shared" si="0"/>
        <v/>
      </c>
      <c r="J4" s="4" t="str">
        <f t="shared" si="1"/>
        <v>○</v>
      </c>
    </row>
    <row r="5" spans="1:10" x14ac:dyDescent="0.15">
      <c r="A5" s="5">
        <v>20250602101200</v>
      </c>
      <c r="B5" s="5" t="str">
        <f t="shared" si="2"/>
        <v>20250602</v>
      </c>
      <c r="C5" s="5">
        <v>20250624104312</v>
      </c>
      <c r="D5" s="5" t="str">
        <f t="shared" si="3"/>
        <v>20250624</v>
      </c>
      <c r="E5" s="6" t="s">
        <v>4</v>
      </c>
      <c r="F5" s="5">
        <v>761009</v>
      </c>
      <c r="G5" s="7" t="str">
        <f t="shared" si="4"/>
        <v>76歳10ヶ月09日</v>
      </c>
      <c r="I5" s="3" t="str">
        <f t="shared" si="0"/>
        <v/>
      </c>
      <c r="J5" s="4" t="str">
        <f t="shared" si="1"/>
        <v>○</v>
      </c>
    </row>
    <row r="6" spans="1:10" x14ac:dyDescent="0.15">
      <c r="A6" s="5">
        <v>20250602101200</v>
      </c>
      <c r="B6" s="5" t="str">
        <f t="shared" si="2"/>
        <v>20250602</v>
      </c>
      <c r="C6" s="5">
        <v>20250530140326</v>
      </c>
      <c r="D6" s="5" t="str">
        <f t="shared" si="3"/>
        <v>20250530</v>
      </c>
      <c r="E6" s="6" t="s">
        <v>4</v>
      </c>
      <c r="F6" s="5">
        <v>761009</v>
      </c>
      <c r="G6" s="7" t="str">
        <f t="shared" si="4"/>
        <v>76歳10ヶ月09日</v>
      </c>
      <c r="I6" s="3" t="str">
        <f t="shared" si="0"/>
        <v/>
      </c>
      <c r="J6" s="4" t="str">
        <f t="shared" si="1"/>
        <v>○</v>
      </c>
    </row>
    <row r="7" spans="1:10" x14ac:dyDescent="0.15">
      <c r="A7" s="5">
        <v>20250602103200</v>
      </c>
      <c r="B7" s="5" t="str">
        <f t="shared" si="2"/>
        <v>20250602</v>
      </c>
      <c r="C7" s="5">
        <v>20250530123301</v>
      </c>
      <c r="D7" s="5" t="str">
        <f t="shared" si="3"/>
        <v>20250530</v>
      </c>
      <c r="E7" s="6" t="s">
        <v>5</v>
      </c>
      <c r="F7" s="5">
        <v>471027</v>
      </c>
      <c r="G7" s="7" t="str">
        <f t="shared" si="4"/>
        <v>47歳10ヶ月27日</v>
      </c>
      <c r="I7" s="3" t="str">
        <f t="shared" si="0"/>
        <v/>
      </c>
      <c r="J7" s="4" t="str">
        <f t="shared" si="1"/>
        <v>○</v>
      </c>
    </row>
    <row r="8" spans="1:10" x14ac:dyDescent="0.15">
      <c r="A8" s="5">
        <v>20250602114400</v>
      </c>
      <c r="B8" s="5" t="str">
        <f t="shared" si="2"/>
        <v>20250602</v>
      </c>
      <c r="C8" s="5">
        <v>20250602105255</v>
      </c>
      <c r="D8" s="5" t="str">
        <f t="shared" si="3"/>
        <v>20250602</v>
      </c>
      <c r="E8" s="6" t="s">
        <v>5</v>
      </c>
      <c r="F8" s="5">
        <v>950218</v>
      </c>
      <c r="G8" s="7" t="str">
        <f t="shared" si="4"/>
        <v>95歳02ヶ月18日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20250602115900</v>
      </c>
      <c r="B9" s="5" t="str">
        <f t="shared" si="2"/>
        <v>20250602</v>
      </c>
      <c r="C9" s="5">
        <v>20250602101616</v>
      </c>
      <c r="D9" s="5" t="str">
        <f t="shared" si="3"/>
        <v>20250602</v>
      </c>
      <c r="E9" s="6" t="s">
        <v>5</v>
      </c>
      <c r="F9" s="5">
        <v>700623</v>
      </c>
      <c r="G9" s="7" t="str">
        <f t="shared" si="4"/>
        <v>70歳06ヶ月23日</v>
      </c>
      <c r="I9" s="3" t="str">
        <f t="shared" si="0"/>
        <v>○</v>
      </c>
      <c r="J9" s="4" t="str">
        <f t="shared" si="1"/>
        <v/>
      </c>
    </row>
    <row r="10" spans="1:10" x14ac:dyDescent="0.15">
      <c r="A10" s="5">
        <v>20250602132000</v>
      </c>
      <c r="B10" s="5" t="str">
        <f t="shared" si="2"/>
        <v>20250602</v>
      </c>
      <c r="C10" s="5">
        <v>20250602124854</v>
      </c>
      <c r="D10" s="5" t="str">
        <f t="shared" si="3"/>
        <v>20250602</v>
      </c>
      <c r="E10" s="6" t="s">
        <v>4</v>
      </c>
      <c r="F10" s="5">
        <v>620503</v>
      </c>
      <c r="G10" s="7" t="str">
        <f t="shared" si="4"/>
        <v>62歳05ヶ月03日</v>
      </c>
      <c r="I10" s="3" t="str">
        <f t="shared" si="0"/>
        <v>○</v>
      </c>
      <c r="J10" s="4" t="str">
        <f t="shared" si="1"/>
        <v/>
      </c>
    </row>
    <row r="11" spans="1:10" x14ac:dyDescent="0.15">
      <c r="A11" s="5">
        <v>20250602133000</v>
      </c>
      <c r="B11" s="5" t="str">
        <f t="shared" si="2"/>
        <v>20250602</v>
      </c>
      <c r="C11" s="5">
        <v>20250602130727</v>
      </c>
      <c r="D11" s="5" t="str">
        <f t="shared" si="3"/>
        <v>20250602</v>
      </c>
      <c r="E11" s="6" t="s">
        <v>4</v>
      </c>
      <c r="F11" s="5">
        <v>160615</v>
      </c>
      <c r="G11" s="7" t="str">
        <f t="shared" si="4"/>
        <v>16歳06ヶ月15日</v>
      </c>
      <c r="I11" s="3" t="str">
        <f t="shared" si="0"/>
        <v>○</v>
      </c>
      <c r="J11" s="4" t="str">
        <f t="shared" si="1"/>
        <v/>
      </c>
    </row>
    <row r="12" spans="1:10" x14ac:dyDescent="0.15">
      <c r="A12" s="5">
        <v>20250602141200</v>
      </c>
      <c r="B12" s="5" t="str">
        <f t="shared" si="2"/>
        <v>20250602</v>
      </c>
      <c r="C12" s="5">
        <v>20250602130844</v>
      </c>
      <c r="D12" s="5" t="str">
        <f t="shared" si="3"/>
        <v>20250602</v>
      </c>
      <c r="E12" s="6" t="s">
        <v>4</v>
      </c>
      <c r="F12" s="5">
        <v>750305</v>
      </c>
      <c r="G12" s="7" t="str">
        <f t="shared" si="4"/>
        <v>75歳03ヶ月05日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20250602154700</v>
      </c>
      <c r="B13" s="5" t="str">
        <f t="shared" si="2"/>
        <v>20250602</v>
      </c>
      <c r="C13" s="5">
        <v>20250510125617</v>
      </c>
      <c r="D13" s="5" t="str">
        <f t="shared" si="3"/>
        <v>20250510</v>
      </c>
      <c r="E13" s="6" t="s">
        <v>5</v>
      </c>
      <c r="F13" s="5">
        <v>590823</v>
      </c>
      <c r="G13" s="7" t="str">
        <f t="shared" si="4"/>
        <v>59歳08ヶ月23日</v>
      </c>
      <c r="I13" s="3" t="str">
        <f t="shared" si="0"/>
        <v/>
      </c>
      <c r="J13" s="4" t="str">
        <f t="shared" si="1"/>
        <v>○</v>
      </c>
    </row>
    <row r="14" spans="1:10" x14ac:dyDescent="0.15">
      <c r="A14" s="5">
        <v>20250602162500</v>
      </c>
      <c r="B14" s="5" t="str">
        <f t="shared" si="2"/>
        <v>20250602</v>
      </c>
      <c r="C14" s="5">
        <v>20250515095052</v>
      </c>
      <c r="D14" s="5" t="str">
        <f t="shared" si="3"/>
        <v>20250515</v>
      </c>
      <c r="E14" s="6" t="s">
        <v>5</v>
      </c>
      <c r="F14" s="5">
        <v>640328</v>
      </c>
      <c r="G14" s="7" t="str">
        <f t="shared" si="4"/>
        <v>64歳03ヶ月28日</v>
      </c>
      <c r="I14" s="3" t="str">
        <f t="shared" si="0"/>
        <v/>
      </c>
      <c r="J14" s="4" t="str">
        <f t="shared" si="1"/>
        <v>○</v>
      </c>
    </row>
    <row r="15" spans="1:10" x14ac:dyDescent="0.15">
      <c r="A15" s="5">
        <v>20250602165800</v>
      </c>
      <c r="B15" s="5" t="str">
        <f t="shared" si="2"/>
        <v>20250602</v>
      </c>
      <c r="C15" s="5">
        <v>20250430124313</v>
      </c>
      <c r="D15" s="5" t="str">
        <f t="shared" si="3"/>
        <v>20250430</v>
      </c>
      <c r="E15" s="6" t="s">
        <v>4</v>
      </c>
      <c r="F15" s="5">
        <v>611105</v>
      </c>
      <c r="G15" s="7" t="str">
        <f t="shared" si="4"/>
        <v>61歳11ヶ月05日</v>
      </c>
      <c r="I15" s="3" t="str">
        <f t="shared" si="0"/>
        <v/>
      </c>
      <c r="J15" s="4" t="str">
        <f t="shared" si="1"/>
        <v>○</v>
      </c>
    </row>
    <row r="16" spans="1:10" x14ac:dyDescent="0.15">
      <c r="A16" s="5">
        <v>20250602173000</v>
      </c>
      <c r="B16" s="5" t="str">
        <f t="shared" si="2"/>
        <v>20250602</v>
      </c>
      <c r="C16" s="5">
        <v>20250602172216</v>
      </c>
      <c r="D16" s="5" t="str">
        <f t="shared" si="3"/>
        <v>20250602</v>
      </c>
      <c r="E16" s="6" t="s">
        <v>5</v>
      </c>
      <c r="F16" s="5">
        <v>970113</v>
      </c>
      <c r="G16" s="7" t="str">
        <f t="shared" si="4"/>
        <v>97歳01ヶ月13日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20250603100000</v>
      </c>
      <c r="B17" s="5" t="str">
        <f t="shared" si="2"/>
        <v>20250603</v>
      </c>
      <c r="C17" s="5">
        <v>20250520141826</v>
      </c>
      <c r="D17" s="5" t="str">
        <f t="shared" si="3"/>
        <v>20250520</v>
      </c>
      <c r="E17" s="6" t="s">
        <v>5</v>
      </c>
      <c r="F17" s="5">
        <v>510309</v>
      </c>
      <c r="G17" s="7" t="str">
        <f t="shared" si="4"/>
        <v>51歳03ヶ月09日</v>
      </c>
      <c r="I17" s="3" t="str">
        <f t="shared" si="0"/>
        <v/>
      </c>
      <c r="J17" s="4" t="str">
        <f t="shared" si="1"/>
        <v>○</v>
      </c>
    </row>
    <row r="18" spans="1:10" x14ac:dyDescent="0.15">
      <c r="A18" s="5">
        <v>20250603100100</v>
      </c>
      <c r="B18" s="5" t="str">
        <f t="shared" si="2"/>
        <v>20250603</v>
      </c>
      <c r="C18" s="5">
        <v>20250603073017</v>
      </c>
      <c r="D18" s="5" t="str">
        <f t="shared" si="3"/>
        <v>20250603</v>
      </c>
      <c r="E18" s="6" t="s">
        <v>5</v>
      </c>
      <c r="F18" s="5">
        <v>800725</v>
      </c>
      <c r="G18" s="7" t="str">
        <f t="shared" si="4"/>
        <v>80歳07ヶ月25日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20250603121200</v>
      </c>
      <c r="B19" s="5" t="str">
        <f t="shared" si="2"/>
        <v>20250603</v>
      </c>
      <c r="C19" s="5">
        <v>20250603111443</v>
      </c>
      <c r="D19" s="5" t="str">
        <f t="shared" si="3"/>
        <v>20250603</v>
      </c>
      <c r="E19" s="6" t="s">
        <v>4</v>
      </c>
      <c r="F19" s="5">
        <v>681115</v>
      </c>
      <c r="G19" s="7" t="str">
        <f t="shared" si="4"/>
        <v>68歳11ヶ月15日</v>
      </c>
      <c r="I19" s="3" t="str">
        <f t="shared" si="0"/>
        <v>○</v>
      </c>
      <c r="J19" s="4" t="str">
        <f t="shared" si="1"/>
        <v/>
      </c>
    </row>
    <row r="20" spans="1:10" x14ac:dyDescent="0.15">
      <c r="A20" s="5">
        <v>20250603124900</v>
      </c>
      <c r="B20" s="5" t="str">
        <f t="shared" si="2"/>
        <v>20250603</v>
      </c>
      <c r="C20" s="5">
        <v>20250603110455</v>
      </c>
      <c r="D20" s="5" t="str">
        <f t="shared" si="3"/>
        <v>20250603</v>
      </c>
      <c r="E20" s="6" t="s">
        <v>4</v>
      </c>
      <c r="F20" s="5">
        <v>810523</v>
      </c>
      <c r="G20" s="7" t="str">
        <f t="shared" si="4"/>
        <v>81歳05ヶ月23日</v>
      </c>
      <c r="I20" s="3" t="str">
        <f t="shared" si="0"/>
        <v>○</v>
      </c>
      <c r="J20" s="4" t="str">
        <f t="shared" si="1"/>
        <v/>
      </c>
    </row>
    <row r="21" spans="1:10" x14ac:dyDescent="0.15">
      <c r="A21" s="5">
        <v>20250603130800</v>
      </c>
      <c r="B21" s="5" t="str">
        <f t="shared" si="2"/>
        <v>20250603</v>
      </c>
      <c r="C21" s="5">
        <v>20250603115000</v>
      </c>
      <c r="D21" s="5" t="str">
        <f t="shared" si="3"/>
        <v>20250603</v>
      </c>
      <c r="E21" s="6" t="s">
        <v>5</v>
      </c>
      <c r="F21" s="5">
        <v>610700</v>
      </c>
      <c r="G21" s="7" t="str">
        <f t="shared" si="4"/>
        <v>61歳07ヶ月00日</v>
      </c>
      <c r="I21" s="3" t="str">
        <f t="shared" si="0"/>
        <v>○</v>
      </c>
      <c r="J21" s="4" t="str">
        <f t="shared" si="1"/>
        <v/>
      </c>
    </row>
    <row r="22" spans="1:10" x14ac:dyDescent="0.15">
      <c r="A22" s="5">
        <v>20250603133600</v>
      </c>
      <c r="B22" s="5" t="str">
        <f t="shared" si="2"/>
        <v>20250603</v>
      </c>
      <c r="C22" s="5">
        <v>20250603125148</v>
      </c>
      <c r="D22" s="5" t="str">
        <f t="shared" si="3"/>
        <v>20250603</v>
      </c>
      <c r="E22" s="6" t="s">
        <v>4</v>
      </c>
      <c r="F22" s="5">
        <v>830419</v>
      </c>
      <c r="G22" s="7" t="str">
        <f t="shared" si="4"/>
        <v>83歳04ヶ月19日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20250603173000</v>
      </c>
      <c r="B23" s="5" t="str">
        <f t="shared" si="2"/>
        <v>20250603</v>
      </c>
      <c r="C23" s="5">
        <v>20250603171438</v>
      </c>
      <c r="D23" s="5" t="str">
        <f t="shared" si="3"/>
        <v>20250603</v>
      </c>
      <c r="E23" s="6" t="s">
        <v>5</v>
      </c>
      <c r="F23" s="5">
        <v>680812</v>
      </c>
      <c r="G23" s="7" t="str">
        <f t="shared" si="4"/>
        <v>68歳08ヶ月12日</v>
      </c>
      <c r="I23" s="3" t="str">
        <f t="shared" si="0"/>
        <v>○</v>
      </c>
      <c r="J23" s="4" t="str">
        <f t="shared" si="1"/>
        <v/>
      </c>
    </row>
    <row r="24" spans="1:10" x14ac:dyDescent="0.15">
      <c r="A24" s="5">
        <v>20250604100600</v>
      </c>
      <c r="B24" s="5" t="str">
        <f t="shared" si="2"/>
        <v>20250604</v>
      </c>
      <c r="C24" s="5">
        <v>20250603122924</v>
      </c>
      <c r="D24" s="5" t="str">
        <f t="shared" si="3"/>
        <v>20250603</v>
      </c>
      <c r="E24" s="6" t="s">
        <v>5</v>
      </c>
      <c r="F24" s="5">
        <v>760307</v>
      </c>
      <c r="G24" s="7" t="str">
        <f t="shared" si="4"/>
        <v>76歳03ヶ月07日</v>
      </c>
      <c r="I24" s="3" t="str">
        <f t="shared" si="0"/>
        <v/>
      </c>
      <c r="J24" s="4" t="str">
        <f t="shared" si="1"/>
        <v>○</v>
      </c>
    </row>
    <row r="25" spans="1:10" x14ac:dyDescent="0.15">
      <c r="A25" s="5">
        <v>20250604105800</v>
      </c>
      <c r="B25" s="5" t="str">
        <f t="shared" si="2"/>
        <v>20250604</v>
      </c>
      <c r="C25" s="5">
        <v>20250603123958</v>
      </c>
      <c r="D25" s="5" t="str">
        <f t="shared" si="3"/>
        <v>20250603</v>
      </c>
      <c r="E25" s="6" t="s">
        <v>5</v>
      </c>
      <c r="F25" s="5">
        <v>770320</v>
      </c>
      <c r="G25" s="7" t="str">
        <f t="shared" si="4"/>
        <v>77歳03ヶ月20日</v>
      </c>
      <c r="I25" s="3" t="str">
        <f t="shared" si="0"/>
        <v/>
      </c>
      <c r="J25" s="4" t="str">
        <f t="shared" si="1"/>
        <v>○</v>
      </c>
    </row>
    <row r="26" spans="1:10" x14ac:dyDescent="0.15">
      <c r="A26" s="5">
        <v>20250604120400</v>
      </c>
      <c r="B26" s="5" t="str">
        <f t="shared" si="2"/>
        <v>20250604</v>
      </c>
      <c r="C26" s="5">
        <v>20250604104547</v>
      </c>
      <c r="D26" s="5" t="str">
        <f t="shared" si="3"/>
        <v>20250604</v>
      </c>
      <c r="E26" s="6" t="s">
        <v>5</v>
      </c>
      <c r="F26" s="5">
        <v>270509</v>
      </c>
      <c r="G26" s="7" t="str">
        <f t="shared" si="4"/>
        <v>27歳05ヶ月09日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20250604133100</v>
      </c>
      <c r="B27" s="5" t="str">
        <f t="shared" si="2"/>
        <v>20250604</v>
      </c>
      <c r="C27" s="5">
        <v>20250604130347</v>
      </c>
      <c r="D27" s="5" t="str">
        <f t="shared" si="3"/>
        <v>20250604</v>
      </c>
      <c r="E27" s="6" t="s">
        <v>4</v>
      </c>
      <c r="F27" s="5">
        <v>301024</v>
      </c>
      <c r="G27" s="7" t="str">
        <f t="shared" si="4"/>
        <v>30歳10ヶ月24日</v>
      </c>
      <c r="I27" s="3" t="str">
        <f t="shared" si="0"/>
        <v>○</v>
      </c>
      <c r="J27" s="4" t="str">
        <f t="shared" si="1"/>
        <v/>
      </c>
    </row>
    <row r="28" spans="1:10" x14ac:dyDescent="0.15">
      <c r="A28" s="5">
        <v>20250604145800</v>
      </c>
      <c r="B28" s="5" t="str">
        <f t="shared" si="2"/>
        <v>20250604</v>
      </c>
      <c r="C28" s="5">
        <v>20250423094641</v>
      </c>
      <c r="D28" s="5" t="str">
        <f t="shared" si="3"/>
        <v>20250423</v>
      </c>
      <c r="E28" s="6" t="s">
        <v>5</v>
      </c>
      <c r="F28" s="5">
        <v>901126</v>
      </c>
      <c r="G28" s="7" t="str">
        <f t="shared" si="4"/>
        <v>90歳11ヶ月26日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20250604154200</v>
      </c>
      <c r="B29" s="5" t="str">
        <f t="shared" si="2"/>
        <v>20250604</v>
      </c>
      <c r="C29" s="5">
        <v>20250527144000</v>
      </c>
      <c r="D29" s="5" t="str">
        <f t="shared" si="3"/>
        <v>20250527</v>
      </c>
      <c r="E29" s="6" t="s">
        <v>4</v>
      </c>
      <c r="F29" s="5">
        <v>701121</v>
      </c>
      <c r="G29" s="7" t="str">
        <f t="shared" si="4"/>
        <v>70歳11ヶ月21日</v>
      </c>
      <c r="I29" s="3" t="str">
        <f t="shared" si="0"/>
        <v/>
      </c>
      <c r="J29" s="4" t="str">
        <f t="shared" si="1"/>
        <v>○</v>
      </c>
    </row>
    <row r="30" spans="1:10" x14ac:dyDescent="0.15">
      <c r="A30" s="5">
        <v>20250604162600</v>
      </c>
      <c r="B30" s="5" t="str">
        <f t="shared" si="2"/>
        <v>20250604</v>
      </c>
      <c r="C30" s="5">
        <v>20250515094735</v>
      </c>
      <c r="D30" s="5" t="str">
        <f t="shared" si="3"/>
        <v>20250515</v>
      </c>
      <c r="E30" s="6" t="s">
        <v>4</v>
      </c>
      <c r="F30" s="5">
        <v>750326</v>
      </c>
      <c r="G30" s="7" t="str">
        <f t="shared" si="4"/>
        <v>75歳03ヶ月26日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20250604164400</v>
      </c>
      <c r="B31" s="5" t="str">
        <f t="shared" si="2"/>
        <v>20250604</v>
      </c>
      <c r="C31" s="5">
        <v>20250604162154</v>
      </c>
      <c r="D31" s="5" t="str">
        <f t="shared" si="3"/>
        <v>20250604</v>
      </c>
      <c r="E31" s="6" t="s">
        <v>4</v>
      </c>
      <c r="F31" s="5">
        <v>561117</v>
      </c>
      <c r="G31" s="7" t="str">
        <f t="shared" si="4"/>
        <v>56歳11ヶ月17日</v>
      </c>
      <c r="I31" s="3" t="str">
        <f t="shared" si="0"/>
        <v>○</v>
      </c>
      <c r="J31" s="4" t="str">
        <f t="shared" si="1"/>
        <v/>
      </c>
    </row>
    <row r="32" spans="1:10" x14ac:dyDescent="0.15">
      <c r="A32" s="5">
        <v>20250604170000</v>
      </c>
      <c r="B32" s="5" t="str">
        <f t="shared" si="2"/>
        <v>20250604</v>
      </c>
      <c r="C32" s="5">
        <v>20250604162000</v>
      </c>
      <c r="D32" s="5" t="str">
        <f t="shared" si="3"/>
        <v>20250604</v>
      </c>
      <c r="E32" s="6" t="s">
        <v>5</v>
      </c>
      <c r="F32" s="5">
        <v>780814</v>
      </c>
      <c r="G32" s="7" t="str">
        <f t="shared" si="4"/>
        <v>78歳08ヶ月14日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20250604184000</v>
      </c>
      <c r="B33" s="5" t="str">
        <f t="shared" si="2"/>
        <v>20250604</v>
      </c>
      <c r="C33" s="5">
        <v>20250604180320</v>
      </c>
      <c r="D33" s="5" t="str">
        <f t="shared" si="3"/>
        <v>20250604</v>
      </c>
      <c r="E33" s="6" t="s">
        <v>5</v>
      </c>
      <c r="F33" s="5">
        <v>470215</v>
      </c>
      <c r="G33" s="7" t="str">
        <f t="shared" si="4"/>
        <v>47歳02ヶ月15日</v>
      </c>
      <c r="I33" s="3" t="str">
        <f t="shared" si="0"/>
        <v>○</v>
      </c>
      <c r="J33" s="4" t="str">
        <f t="shared" si="1"/>
        <v/>
      </c>
    </row>
    <row r="34" spans="1:10" x14ac:dyDescent="0.15">
      <c r="A34" s="5">
        <v>20250605091700</v>
      </c>
      <c r="B34" s="5" t="str">
        <f t="shared" si="2"/>
        <v>20250605</v>
      </c>
      <c r="C34" s="5">
        <v>20250604171440</v>
      </c>
      <c r="D34" s="5" t="str">
        <f t="shared" si="3"/>
        <v>20250604</v>
      </c>
      <c r="E34" s="6" t="s">
        <v>6</v>
      </c>
      <c r="F34" s="5">
        <v>750618</v>
      </c>
      <c r="G34" s="7" t="str">
        <f t="shared" si="4"/>
        <v>75歳06ヶ月18日</v>
      </c>
      <c r="I34" s="3" t="str">
        <f t="shared" si="0"/>
        <v/>
      </c>
      <c r="J34" s="4" t="str">
        <f t="shared" si="1"/>
        <v>○</v>
      </c>
    </row>
    <row r="35" spans="1:10" x14ac:dyDescent="0.15">
      <c r="A35" s="5">
        <v>20250605094800</v>
      </c>
      <c r="B35" s="5" t="str">
        <f t="shared" si="2"/>
        <v>20250605</v>
      </c>
      <c r="C35" s="5">
        <v>20250604135856</v>
      </c>
      <c r="D35" s="5" t="str">
        <f t="shared" si="3"/>
        <v>20250604</v>
      </c>
      <c r="E35" s="6" t="s">
        <v>4</v>
      </c>
      <c r="F35" s="5">
        <v>840516</v>
      </c>
      <c r="G35" s="7" t="str">
        <f t="shared" si="4"/>
        <v>84歳05ヶ月16日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20250605095600</v>
      </c>
      <c r="B36" s="5" t="str">
        <f t="shared" si="2"/>
        <v>20250605</v>
      </c>
      <c r="C36" s="5">
        <v>20250417110531</v>
      </c>
      <c r="D36" s="5" t="str">
        <f t="shared" si="3"/>
        <v>20250417</v>
      </c>
      <c r="E36" s="6" t="s">
        <v>4</v>
      </c>
      <c r="F36" s="5">
        <v>670206</v>
      </c>
      <c r="G36" s="7" t="str">
        <f t="shared" si="4"/>
        <v>67歳02ヶ月06日</v>
      </c>
      <c r="I36" s="3" t="str">
        <f t="shared" si="0"/>
        <v/>
      </c>
      <c r="J36" s="4" t="str">
        <f t="shared" si="1"/>
        <v>○</v>
      </c>
    </row>
    <row r="37" spans="1:10" x14ac:dyDescent="0.15">
      <c r="A37" s="5">
        <v>20250605100000</v>
      </c>
      <c r="B37" s="5" t="str">
        <f t="shared" si="2"/>
        <v>20250605</v>
      </c>
      <c r="C37" s="5">
        <v>20250416114449</v>
      </c>
      <c r="D37" s="5" t="str">
        <f t="shared" si="3"/>
        <v>20250416</v>
      </c>
      <c r="E37" s="6" t="s">
        <v>4</v>
      </c>
      <c r="F37" s="5">
        <v>310120</v>
      </c>
      <c r="G37" s="7" t="str">
        <f t="shared" si="4"/>
        <v>31歳01ヶ月20日</v>
      </c>
      <c r="I37" s="3" t="str">
        <f t="shared" si="0"/>
        <v/>
      </c>
      <c r="J37" s="4" t="str">
        <f t="shared" si="1"/>
        <v>○</v>
      </c>
    </row>
    <row r="38" spans="1:10" x14ac:dyDescent="0.15">
      <c r="A38" s="5">
        <v>20250605113800</v>
      </c>
      <c r="B38" s="5" t="str">
        <f t="shared" si="2"/>
        <v>20250605</v>
      </c>
      <c r="C38" s="5">
        <v>20250605110945</v>
      </c>
      <c r="D38" s="5" t="str">
        <f t="shared" si="3"/>
        <v>20250605</v>
      </c>
      <c r="E38" s="6" t="s">
        <v>4</v>
      </c>
      <c r="F38" s="5">
        <v>890328</v>
      </c>
      <c r="G38" s="7" t="str">
        <f t="shared" si="4"/>
        <v>89歳03ヶ月28日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20250605115900</v>
      </c>
      <c r="B39" s="5" t="str">
        <f t="shared" si="2"/>
        <v>20250605</v>
      </c>
      <c r="C39" s="5">
        <v>20250605100216</v>
      </c>
      <c r="D39" s="5" t="str">
        <f t="shared" si="3"/>
        <v>20250605</v>
      </c>
      <c r="E39" s="6" t="s">
        <v>5</v>
      </c>
      <c r="F39" s="5">
        <v>870416</v>
      </c>
      <c r="G39" s="7" t="str">
        <f t="shared" si="4"/>
        <v>87歳04ヶ月16日</v>
      </c>
      <c r="I39" s="3" t="str">
        <f t="shared" si="0"/>
        <v>○</v>
      </c>
      <c r="J39" s="4" t="str">
        <f t="shared" si="1"/>
        <v/>
      </c>
    </row>
    <row r="40" spans="1:10" x14ac:dyDescent="0.15">
      <c r="A40" s="5">
        <v>20250605120400</v>
      </c>
      <c r="B40" s="5" t="str">
        <f t="shared" si="2"/>
        <v>20250605</v>
      </c>
      <c r="C40" s="5">
        <v>20250605102208</v>
      </c>
      <c r="D40" s="5" t="str">
        <f t="shared" si="3"/>
        <v>20250605</v>
      </c>
      <c r="E40" s="6" t="s">
        <v>5</v>
      </c>
      <c r="F40" s="5">
        <v>960514</v>
      </c>
      <c r="G40" s="7" t="str">
        <f t="shared" si="4"/>
        <v>96歳05ヶ月14日</v>
      </c>
      <c r="I40" s="3" t="str">
        <f t="shared" si="0"/>
        <v>○</v>
      </c>
      <c r="J40" s="4" t="str">
        <f t="shared" si="1"/>
        <v/>
      </c>
    </row>
    <row r="41" spans="1:10" x14ac:dyDescent="0.15">
      <c r="A41" s="5">
        <v>20250605153000</v>
      </c>
      <c r="B41" s="5" t="str">
        <f t="shared" si="2"/>
        <v>20250605</v>
      </c>
      <c r="C41" s="5">
        <v>20250605144709</v>
      </c>
      <c r="D41" s="5" t="str">
        <f t="shared" si="3"/>
        <v>20250605</v>
      </c>
      <c r="E41" s="6" t="s">
        <v>5</v>
      </c>
      <c r="F41" s="5">
        <v>630808</v>
      </c>
      <c r="G41" s="7" t="str">
        <f t="shared" si="4"/>
        <v>63歳08ヶ月08日</v>
      </c>
      <c r="I41" s="3" t="str">
        <f t="shared" si="0"/>
        <v>○</v>
      </c>
      <c r="J41" s="4" t="str">
        <f t="shared" si="1"/>
        <v/>
      </c>
    </row>
    <row r="42" spans="1:10" x14ac:dyDescent="0.15">
      <c r="A42" s="5">
        <v>20250605163900</v>
      </c>
      <c r="B42" s="5" t="str">
        <f t="shared" si="2"/>
        <v>20250605</v>
      </c>
      <c r="C42" s="5">
        <v>20250605161834</v>
      </c>
      <c r="D42" s="5" t="str">
        <f t="shared" si="3"/>
        <v>20250605</v>
      </c>
      <c r="E42" s="6" t="s">
        <v>5</v>
      </c>
      <c r="F42" s="5">
        <v>981125</v>
      </c>
      <c r="G42" s="7" t="str">
        <f t="shared" si="4"/>
        <v>98歳11ヶ月25日</v>
      </c>
      <c r="I42" s="3" t="str">
        <f t="shared" si="0"/>
        <v>○</v>
      </c>
      <c r="J42" s="4" t="str">
        <f t="shared" si="1"/>
        <v/>
      </c>
    </row>
    <row r="43" spans="1:10" x14ac:dyDescent="0.15">
      <c r="A43" s="5">
        <v>20250606120500</v>
      </c>
      <c r="B43" s="5" t="str">
        <f t="shared" si="2"/>
        <v>20250606</v>
      </c>
      <c r="C43" s="5">
        <v>20250606115622</v>
      </c>
      <c r="D43" s="5" t="str">
        <f t="shared" si="3"/>
        <v>20250606</v>
      </c>
      <c r="E43" s="6" t="s">
        <v>5</v>
      </c>
      <c r="F43" s="5">
        <v>720903</v>
      </c>
      <c r="G43" s="7" t="str">
        <f t="shared" si="4"/>
        <v>72歳09ヶ月03日</v>
      </c>
      <c r="I43" s="3" t="str">
        <f t="shared" si="0"/>
        <v>○</v>
      </c>
      <c r="J43" s="4" t="str">
        <f t="shared" si="1"/>
        <v/>
      </c>
    </row>
    <row r="44" spans="1:10" x14ac:dyDescent="0.15">
      <c r="A44" s="5">
        <v>20250606131400</v>
      </c>
      <c r="B44" s="5" t="str">
        <f t="shared" si="2"/>
        <v>20250606</v>
      </c>
      <c r="C44" s="5">
        <v>20250606125053</v>
      </c>
      <c r="D44" s="5" t="str">
        <f t="shared" si="3"/>
        <v>20250606</v>
      </c>
      <c r="E44" s="6" t="s">
        <v>4</v>
      </c>
      <c r="F44" s="5">
        <v>930727</v>
      </c>
      <c r="G44" s="7" t="str">
        <f t="shared" si="4"/>
        <v>93歳07ヶ月27日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20250606131500</v>
      </c>
      <c r="B45" s="5" t="str">
        <f t="shared" si="2"/>
        <v>20250606</v>
      </c>
      <c r="C45" s="5">
        <v>20250606131452</v>
      </c>
      <c r="D45" s="5" t="str">
        <f t="shared" si="3"/>
        <v>20250606</v>
      </c>
      <c r="E45" s="6" t="s">
        <v>5</v>
      </c>
      <c r="F45" s="5">
        <v>871115</v>
      </c>
      <c r="G45" s="7" t="str">
        <f t="shared" si="4"/>
        <v>87歳11ヶ月15日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20250606133100</v>
      </c>
      <c r="B46" s="5" t="str">
        <f t="shared" si="2"/>
        <v>20250606</v>
      </c>
      <c r="C46" s="5">
        <v>20250606115126</v>
      </c>
      <c r="D46" s="5" t="str">
        <f t="shared" si="3"/>
        <v>20250606</v>
      </c>
      <c r="E46" s="6" t="s">
        <v>5</v>
      </c>
      <c r="F46" s="5">
        <v>920105</v>
      </c>
      <c r="G46" s="7" t="str">
        <f t="shared" si="4"/>
        <v>92歳01ヶ月05日</v>
      </c>
      <c r="I46" s="3" t="str">
        <f t="shared" si="0"/>
        <v>○</v>
      </c>
      <c r="J46" s="4" t="str">
        <f t="shared" si="1"/>
        <v/>
      </c>
    </row>
    <row r="47" spans="1:10" x14ac:dyDescent="0.15">
      <c r="A47" s="5">
        <v>20250606145900</v>
      </c>
      <c r="B47" s="5" t="str">
        <f t="shared" si="2"/>
        <v>20250606</v>
      </c>
      <c r="C47" s="5">
        <v>20250606133513</v>
      </c>
      <c r="D47" s="5" t="str">
        <f t="shared" si="3"/>
        <v>20250606</v>
      </c>
      <c r="E47" s="6" t="s">
        <v>5</v>
      </c>
      <c r="F47" s="5">
        <v>880916</v>
      </c>
      <c r="G47" s="7" t="str">
        <f t="shared" si="4"/>
        <v>88歳09ヶ月16日</v>
      </c>
      <c r="I47" s="3" t="str">
        <f t="shared" si="0"/>
        <v>○</v>
      </c>
      <c r="J47" s="4" t="str">
        <f t="shared" si="1"/>
        <v/>
      </c>
    </row>
    <row r="48" spans="1:10" x14ac:dyDescent="0.15">
      <c r="A48" s="5">
        <v>20250606152000</v>
      </c>
      <c r="B48" s="5" t="str">
        <f t="shared" si="2"/>
        <v>20250606</v>
      </c>
      <c r="C48" s="5">
        <v>20250426092647</v>
      </c>
      <c r="D48" s="5" t="str">
        <f t="shared" si="3"/>
        <v>20250426</v>
      </c>
      <c r="E48" s="6" t="s">
        <v>4</v>
      </c>
      <c r="F48" s="5">
        <v>421017</v>
      </c>
      <c r="G48" s="7" t="str">
        <f t="shared" si="4"/>
        <v>42歳10ヶ月17日</v>
      </c>
      <c r="I48" s="3" t="str">
        <f t="shared" si="0"/>
        <v/>
      </c>
      <c r="J48" s="4" t="str">
        <f t="shared" si="1"/>
        <v>○</v>
      </c>
    </row>
    <row r="49" spans="1:10" x14ac:dyDescent="0.15">
      <c r="A49" s="5">
        <v>20250607104400</v>
      </c>
      <c r="B49" s="5" t="str">
        <f t="shared" si="2"/>
        <v>20250607</v>
      </c>
      <c r="C49" s="5">
        <v>20250607095335</v>
      </c>
      <c r="D49" s="5" t="str">
        <f t="shared" si="3"/>
        <v>20250607</v>
      </c>
      <c r="E49" s="6" t="s">
        <v>5</v>
      </c>
      <c r="F49" s="5">
        <v>250718</v>
      </c>
      <c r="G49" s="7" t="str">
        <f t="shared" si="4"/>
        <v>25歳07ヶ月18日</v>
      </c>
      <c r="I49" s="3" t="str">
        <f t="shared" si="0"/>
        <v>○</v>
      </c>
      <c r="J49" s="4" t="str">
        <f t="shared" si="1"/>
        <v/>
      </c>
    </row>
    <row r="50" spans="1:10" x14ac:dyDescent="0.15">
      <c r="A50" s="5">
        <v>20250607104800</v>
      </c>
      <c r="B50" s="5" t="str">
        <f t="shared" si="2"/>
        <v>20250607</v>
      </c>
      <c r="C50" s="5">
        <v>20250519102918</v>
      </c>
      <c r="D50" s="5" t="str">
        <f t="shared" si="3"/>
        <v>20250519</v>
      </c>
      <c r="E50" s="6" t="s">
        <v>4</v>
      </c>
      <c r="F50" s="5">
        <v>720319</v>
      </c>
      <c r="G50" s="7" t="str">
        <f t="shared" si="4"/>
        <v>72歳03ヶ月19日</v>
      </c>
      <c r="I50" s="3" t="str">
        <f t="shared" si="0"/>
        <v/>
      </c>
      <c r="J50" s="4" t="str">
        <f t="shared" si="1"/>
        <v>○</v>
      </c>
    </row>
    <row r="51" spans="1:10" x14ac:dyDescent="0.15">
      <c r="A51" s="5">
        <v>20250608144400</v>
      </c>
      <c r="B51" s="5" t="str">
        <f t="shared" si="2"/>
        <v>20250608</v>
      </c>
      <c r="C51" s="5">
        <v>20250608154237</v>
      </c>
      <c r="D51" s="5" t="str">
        <f t="shared" si="3"/>
        <v>20250608</v>
      </c>
      <c r="E51" s="6" t="s">
        <v>5</v>
      </c>
      <c r="F51" s="5">
        <v>980029</v>
      </c>
      <c r="G51" s="7" t="str">
        <f t="shared" si="4"/>
        <v>98歳00ヶ月29日</v>
      </c>
      <c r="I51" s="3" t="str">
        <f t="shared" si="0"/>
        <v>○</v>
      </c>
      <c r="J51" s="4" t="str">
        <f t="shared" si="1"/>
        <v/>
      </c>
    </row>
    <row r="52" spans="1:10" x14ac:dyDescent="0.15">
      <c r="A52" s="5">
        <v>20250609095200</v>
      </c>
      <c r="B52" s="5" t="str">
        <f t="shared" si="2"/>
        <v>20250609</v>
      </c>
      <c r="C52" s="5">
        <v>20250515095736</v>
      </c>
      <c r="D52" s="5" t="str">
        <f t="shared" si="3"/>
        <v>20250515</v>
      </c>
      <c r="E52" s="6" t="s">
        <v>4</v>
      </c>
      <c r="F52" s="5">
        <v>690621</v>
      </c>
      <c r="G52" s="7" t="str">
        <f t="shared" si="4"/>
        <v>69歳06ヶ月21日</v>
      </c>
      <c r="I52" s="3" t="str">
        <f t="shared" si="0"/>
        <v/>
      </c>
      <c r="J52" s="4" t="str">
        <f t="shared" si="1"/>
        <v>○</v>
      </c>
    </row>
    <row r="53" spans="1:10" x14ac:dyDescent="0.15">
      <c r="A53" s="5">
        <v>20250609101900</v>
      </c>
      <c r="B53" s="5" t="str">
        <f t="shared" si="2"/>
        <v>20250609</v>
      </c>
      <c r="C53" s="5">
        <v>20250609092634</v>
      </c>
      <c r="D53" s="5" t="str">
        <f t="shared" si="3"/>
        <v>20250609</v>
      </c>
      <c r="E53" s="6" t="s">
        <v>5</v>
      </c>
      <c r="F53" s="5">
        <v>880515</v>
      </c>
      <c r="G53" s="7" t="str">
        <f t="shared" si="4"/>
        <v>88歳05ヶ月15日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20250609105000</v>
      </c>
      <c r="B54" s="5" t="str">
        <f t="shared" si="2"/>
        <v>20250609</v>
      </c>
      <c r="C54" s="5">
        <v>20250609104641</v>
      </c>
      <c r="D54" s="5" t="str">
        <f t="shared" si="3"/>
        <v>20250609</v>
      </c>
      <c r="E54" s="6" t="s">
        <v>4</v>
      </c>
      <c r="F54" s="5">
        <v>820212</v>
      </c>
      <c r="G54" s="7" t="str">
        <f t="shared" si="4"/>
        <v>82歳02ヶ月12日</v>
      </c>
      <c r="I54" s="3" t="str">
        <f t="shared" si="0"/>
        <v>○</v>
      </c>
      <c r="J54" s="4" t="str">
        <f t="shared" si="1"/>
        <v/>
      </c>
    </row>
    <row r="55" spans="1:10" x14ac:dyDescent="0.15">
      <c r="A55" s="5">
        <v>20250609124300</v>
      </c>
      <c r="B55" s="5" t="str">
        <f t="shared" si="2"/>
        <v>20250609</v>
      </c>
      <c r="C55" s="5">
        <v>20250609110623</v>
      </c>
      <c r="D55" s="5" t="str">
        <f t="shared" si="3"/>
        <v>20250609</v>
      </c>
      <c r="E55" s="6" t="s">
        <v>5</v>
      </c>
      <c r="F55" s="5">
        <v>860125</v>
      </c>
      <c r="G55" s="7" t="str">
        <f t="shared" si="4"/>
        <v>86歳01ヶ月25日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20250609125200</v>
      </c>
      <c r="B56" s="5" t="str">
        <f t="shared" si="2"/>
        <v>20250609</v>
      </c>
      <c r="C56" s="5">
        <v>20250609114420</v>
      </c>
      <c r="D56" s="5" t="str">
        <f t="shared" si="3"/>
        <v>20250609</v>
      </c>
      <c r="E56" s="6" t="s">
        <v>4</v>
      </c>
      <c r="F56" s="5">
        <v>901105</v>
      </c>
      <c r="G56" s="7" t="str">
        <f t="shared" si="4"/>
        <v>90歳11ヶ月05日</v>
      </c>
      <c r="I56" s="3" t="str">
        <f t="shared" si="0"/>
        <v>○</v>
      </c>
      <c r="J56" s="4" t="str">
        <f t="shared" si="1"/>
        <v/>
      </c>
    </row>
    <row r="57" spans="1:10" x14ac:dyDescent="0.15">
      <c r="A57" s="5">
        <v>20250609140000</v>
      </c>
      <c r="B57" s="5" t="str">
        <f t="shared" si="2"/>
        <v>20250609</v>
      </c>
      <c r="C57" s="5">
        <v>20250609123455</v>
      </c>
      <c r="D57" s="5" t="str">
        <f t="shared" si="3"/>
        <v>20250609</v>
      </c>
      <c r="E57" s="6" t="s">
        <v>4</v>
      </c>
      <c r="F57" s="5">
        <v>480301</v>
      </c>
      <c r="G57" s="7" t="str">
        <f t="shared" si="4"/>
        <v>48歳03ヶ月01日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20250609141800</v>
      </c>
      <c r="B58" s="5" t="str">
        <f t="shared" si="2"/>
        <v>20250609</v>
      </c>
      <c r="C58" s="5">
        <v>20250609131457</v>
      </c>
      <c r="D58" s="5" t="str">
        <f t="shared" si="3"/>
        <v>20250609</v>
      </c>
      <c r="E58" s="6" t="s">
        <v>5</v>
      </c>
      <c r="F58" s="5">
        <v>860401</v>
      </c>
      <c r="G58" s="7" t="str">
        <f t="shared" si="4"/>
        <v>86歳04ヶ月01日</v>
      </c>
      <c r="I58" s="3" t="str">
        <f t="shared" si="0"/>
        <v>○</v>
      </c>
      <c r="J58" s="4" t="str">
        <f t="shared" si="1"/>
        <v/>
      </c>
    </row>
    <row r="59" spans="1:10" x14ac:dyDescent="0.15">
      <c r="A59" s="5">
        <v>20250609160000</v>
      </c>
      <c r="B59" s="5" t="str">
        <f t="shared" si="2"/>
        <v>20250609</v>
      </c>
      <c r="C59" s="5">
        <v>20250609155819</v>
      </c>
      <c r="D59" s="5" t="str">
        <f t="shared" si="3"/>
        <v>20250609</v>
      </c>
      <c r="E59" s="6" t="s">
        <v>5</v>
      </c>
      <c r="F59" s="5">
        <v>920427</v>
      </c>
      <c r="G59" s="7" t="str">
        <f t="shared" si="4"/>
        <v>92歳04ヶ月27日</v>
      </c>
      <c r="I59" s="3" t="str">
        <f t="shared" si="0"/>
        <v>○</v>
      </c>
      <c r="J59" s="4" t="str">
        <f t="shared" si="1"/>
        <v/>
      </c>
    </row>
    <row r="60" spans="1:10" x14ac:dyDescent="0.15">
      <c r="A60" s="5">
        <v>20250609164900</v>
      </c>
      <c r="B60" s="5" t="str">
        <f t="shared" si="2"/>
        <v>20250609</v>
      </c>
      <c r="C60" s="5">
        <v>20250609160741</v>
      </c>
      <c r="D60" s="5" t="str">
        <f t="shared" si="3"/>
        <v>20250609</v>
      </c>
      <c r="E60" s="6" t="s">
        <v>4</v>
      </c>
      <c r="F60" s="5">
        <v>160016</v>
      </c>
      <c r="G60" s="7" t="str">
        <f t="shared" si="4"/>
        <v>16歳00ヶ月16日</v>
      </c>
      <c r="I60" s="3" t="str">
        <f t="shared" si="0"/>
        <v>○</v>
      </c>
      <c r="J60" s="4" t="str">
        <f t="shared" si="1"/>
        <v/>
      </c>
    </row>
    <row r="61" spans="1:10" x14ac:dyDescent="0.15">
      <c r="A61" s="5">
        <v>20250609172600</v>
      </c>
      <c r="B61" s="5" t="str">
        <f t="shared" si="2"/>
        <v>20250609</v>
      </c>
      <c r="C61" s="5">
        <v>20250609165425</v>
      </c>
      <c r="D61" s="5" t="str">
        <f t="shared" si="3"/>
        <v>20250609</v>
      </c>
      <c r="E61" s="6" t="s">
        <v>5</v>
      </c>
      <c r="F61" s="5">
        <v>870813</v>
      </c>
      <c r="G61" s="7" t="str">
        <f t="shared" si="4"/>
        <v>87歳08ヶ月13日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20250609190600</v>
      </c>
      <c r="B62" s="5" t="str">
        <f t="shared" si="2"/>
        <v>20250609</v>
      </c>
      <c r="C62" s="5">
        <v>20250609185932</v>
      </c>
      <c r="D62" s="5" t="str">
        <f t="shared" si="3"/>
        <v>20250609</v>
      </c>
      <c r="E62" s="6" t="s">
        <v>4</v>
      </c>
      <c r="F62" s="5">
        <v>580922</v>
      </c>
      <c r="G62" s="7" t="str">
        <f t="shared" si="4"/>
        <v>58歳09ヶ月22日</v>
      </c>
      <c r="I62" s="3" t="str">
        <f t="shared" si="0"/>
        <v>○</v>
      </c>
      <c r="J62" s="4" t="str">
        <f t="shared" si="1"/>
        <v/>
      </c>
    </row>
    <row r="63" spans="1:10" x14ac:dyDescent="0.15">
      <c r="A63" s="5">
        <v>20250610100200</v>
      </c>
      <c r="B63" s="5" t="str">
        <f t="shared" si="2"/>
        <v>20250610</v>
      </c>
      <c r="C63" s="5">
        <v>20250609163444</v>
      </c>
      <c r="D63" s="5" t="str">
        <f t="shared" si="3"/>
        <v>20250609</v>
      </c>
      <c r="E63" s="6" t="s">
        <v>5</v>
      </c>
      <c r="F63" s="5">
        <v>860328</v>
      </c>
      <c r="G63" s="7" t="str">
        <f t="shared" si="4"/>
        <v>86歳03ヶ月28日</v>
      </c>
      <c r="I63" s="3" t="str">
        <f t="shared" si="0"/>
        <v/>
      </c>
      <c r="J63" s="4" t="str">
        <f t="shared" si="1"/>
        <v>○</v>
      </c>
    </row>
    <row r="64" spans="1:10" x14ac:dyDescent="0.15">
      <c r="A64" s="5">
        <v>20250610100300</v>
      </c>
      <c r="B64" s="5" t="str">
        <f t="shared" si="2"/>
        <v>20250610</v>
      </c>
      <c r="C64" s="5">
        <v>20250508162710</v>
      </c>
      <c r="D64" s="5" t="str">
        <f t="shared" si="3"/>
        <v>20250508</v>
      </c>
      <c r="E64" s="6" t="s">
        <v>5</v>
      </c>
      <c r="F64" s="5">
        <v>760205</v>
      </c>
      <c r="G64" s="7" t="str">
        <f t="shared" si="4"/>
        <v>76歳02ヶ月05日</v>
      </c>
      <c r="I64" s="3" t="str">
        <f t="shared" si="0"/>
        <v/>
      </c>
      <c r="J64" s="4" t="str">
        <f t="shared" si="1"/>
        <v>○</v>
      </c>
    </row>
    <row r="65" spans="1:10" x14ac:dyDescent="0.15">
      <c r="A65" s="5">
        <v>20250610125600</v>
      </c>
      <c r="B65" s="5" t="str">
        <f t="shared" si="2"/>
        <v>20250610</v>
      </c>
      <c r="C65" s="5">
        <v>20250610120133</v>
      </c>
      <c r="D65" s="5" t="str">
        <f t="shared" si="3"/>
        <v>20250610</v>
      </c>
      <c r="E65" s="6" t="s">
        <v>4</v>
      </c>
      <c r="F65" s="5">
        <v>960025</v>
      </c>
      <c r="G65" s="7" t="str">
        <f t="shared" si="4"/>
        <v>96歳00ヶ月25日</v>
      </c>
      <c r="I65" s="3" t="str">
        <f t="shared" si="0"/>
        <v>○</v>
      </c>
      <c r="J65" s="4" t="str">
        <f t="shared" si="1"/>
        <v/>
      </c>
    </row>
    <row r="66" spans="1:10" x14ac:dyDescent="0.15">
      <c r="A66" s="5">
        <v>20250610145400</v>
      </c>
      <c r="B66" s="5" t="str">
        <f t="shared" si="2"/>
        <v>20250610</v>
      </c>
      <c r="C66" s="5">
        <v>20250603173303</v>
      </c>
      <c r="D66" s="5" t="str">
        <f t="shared" si="3"/>
        <v>20250603</v>
      </c>
      <c r="E66" s="6" t="s">
        <v>4</v>
      </c>
      <c r="F66" s="5">
        <v>810205</v>
      </c>
      <c r="G66" s="7" t="str">
        <f t="shared" si="4"/>
        <v>81歳02ヶ月05日</v>
      </c>
      <c r="I66" s="3" t="str">
        <f t="shared" ref="I66:I129" si="5">IF(B66=D66,"○","")</f>
        <v/>
      </c>
      <c r="J66" s="4" t="str">
        <f t="shared" ref="J66:J129" si="6">IF(B66&lt;&gt;D66,"○","")</f>
        <v>○</v>
      </c>
    </row>
    <row r="67" spans="1:10" x14ac:dyDescent="0.15">
      <c r="A67" s="5">
        <v>20250610145500</v>
      </c>
      <c r="B67" s="5" t="str">
        <f t="shared" ref="B67:B130" si="7">MID(A67,1,8)</f>
        <v>20250610</v>
      </c>
      <c r="C67" s="5">
        <v>20250610131050</v>
      </c>
      <c r="D67" s="5" t="str">
        <f t="shared" ref="D67:D130" si="8">MID(C67,1,8)</f>
        <v>20250610</v>
      </c>
      <c r="E67" s="6" t="s">
        <v>5</v>
      </c>
      <c r="F67" s="5">
        <v>980216</v>
      </c>
      <c r="G67" s="7" t="str">
        <f t="shared" ref="G67:G130" si="9">MID(F67,1,2)&amp;"歳"&amp;MID(F67,3,2)&amp;"ヶ月"&amp;MID(F67,5,2)&amp;"日"</f>
        <v>98歳02ヶ月16日</v>
      </c>
      <c r="I67" s="3" t="str">
        <f t="shared" si="5"/>
        <v>○</v>
      </c>
      <c r="J67" s="4" t="str">
        <f t="shared" si="6"/>
        <v/>
      </c>
    </row>
    <row r="68" spans="1:10" x14ac:dyDescent="0.15">
      <c r="A68" s="5">
        <v>20250610152400</v>
      </c>
      <c r="B68" s="5" t="str">
        <f t="shared" si="7"/>
        <v>20250610</v>
      </c>
      <c r="C68" s="5">
        <v>20250610150434</v>
      </c>
      <c r="D68" s="5" t="str">
        <f t="shared" si="8"/>
        <v>20250610</v>
      </c>
      <c r="E68" s="6" t="s">
        <v>4</v>
      </c>
      <c r="F68" s="5">
        <v>850626</v>
      </c>
      <c r="G68" s="7" t="str">
        <f t="shared" si="9"/>
        <v>85歳06ヶ月26日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20250610154200</v>
      </c>
      <c r="B69" s="5" t="str">
        <f t="shared" si="7"/>
        <v>20250610</v>
      </c>
      <c r="C69" s="5">
        <v>20250514164932</v>
      </c>
      <c r="D69" s="5" t="str">
        <f t="shared" si="8"/>
        <v>20250514</v>
      </c>
      <c r="E69" s="6" t="s">
        <v>5</v>
      </c>
      <c r="F69" s="5">
        <v>440411</v>
      </c>
      <c r="G69" s="7" t="str">
        <f t="shared" si="9"/>
        <v>44歳04ヶ月11日</v>
      </c>
      <c r="I69" s="3" t="str">
        <f t="shared" si="5"/>
        <v/>
      </c>
      <c r="J69" s="4" t="str">
        <f t="shared" si="6"/>
        <v>○</v>
      </c>
    </row>
    <row r="70" spans="1:10" x14ac:dyDescent="0.15">
      <c r="A70" s="5">
        <v>20250610170500</v>
      </c>
      <c r="B70" s="5" t="str">
        <f t="shared" si="7"/>
        <v>20250610</v>
      </c>
      <c r="C70" s="5">
        <v>20250610164342</v>
      </c>
      <c r="D70" s="5" t="str">
        <f t="shared" si="8"/>
        <v>20250610</v>
      </c>
      <c r="E70" s="6" t="s">
        <v>5</v>
      </c>
      <c r="F70" s="5">
        <v>571008</v>
      </c>
      <c r="G70" s="7" t="str">
        <f t="shared" si="9"/>
        <v>57歳10ヶ月08日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20250611091700</v>
      </c>
      <c r="B71" s="5" t="str">
        <f t="shared" si="7"/>
        <v>20250611</v>
      </c>
      <c r="C71" s="5">
        <v>20250603173020</v>
      </c>
      <c r="D71" s="5" t="str">
        <f t="shared" si="8"/>
        <v>20250603</v>
      </c>
      <c r="E71" s="6" t="s">
        <v>5</v>
      </c>
      <c r="F71" s="5">
        <v>810315</v>
      </c>
      <c r="G71" s="7" t="str">
        <f t="shared" si="9"/>
        <v>81歳03ヶ月15日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20250611093000</v>
      </c>
      <c r="B72" s="5" t="str">
        <f t="shared" si="7"/>
        <v>20250611</v>
      </c>
      <c r="C72" s="5">
        <v>20250603172518</v>
      </c>
      <c r="D72" s="5" t="str">
        <f t="shared" si="8"/>
        <v>20250603</v>
      </c>
      <c r="E72" s="6" t="s">
        <v>4</v>
      </c>
      <c r="F72" s="5">
        <v>670612</v>
      </c>
      <c r="G72" s="7" t="str">
        <f t="shared" si="9"/>
        <v>67歳06ヶ月12日</v>
      </c>
      <c r="I72" s="3" t="str">
        <f t="shared" si="5"/>
        <v/>
      </c>
      <c r="J72" s="4" t="str">
        <f t="shared" si="6"/>
        <v>○</v>
      </c>
    </row>
    <row r="73" spans="1:10" x14ac:dyDescent="0.15">
      <c r="A73" s="5">
        <v>20250611093900</v>
      </c>
      <c r="B73" s="5" t="str">
        <f t="shared" si="7"/>
        <v>20250611</v>
      </c>
      <c r="C73" s="5">
        <v>20250603172741</v>
      </c>
      <c r="D73" s="5" t="str">
        <f t="shared" si="8"/>
        <v>20250603</v>
      </c>
      <c r="E73" s="6" t="s">
        <v>5</v>
      </c>
      <c r="F73" s="5">
        <v>820106</v>
      </c>
      <c r="G73" s="7" t="str">
        <f t="shared" si="9"/>
        <v>82歳01ヶ月06日</v>
      </c>
      <c r="I73" s="3" t="str">
        <f t="shared" si="5"/>
        <v/>
      </c>
      <c r="J73" s="4" t="str">
        <f t="shared" si="6"/>
        <v>○</v>
      </c>
    </row>
    <row r="74" spans="1:10" x14ac:dyDescent="0.15">
      <c r="A74" s="5">
        <v>20250611094500</v>
      </c>
      <c r="B74" s="5" t="str">
        <f t="shared" si="7"/>
        <v>20250611</v>
      </c>
      <c r="C74" s="5">
        <v>20250527173144</v>
      </c>
      <c r="D74" s="5" t="str">
        <f t="shared" si="8"/>
        <v>20250527</v>
      </c>
      <c r="E74" s="6" t="s">
        <v>4</v>
      </c>
      <c r="F74" s="5">
        <v>620410</v>
      </c>
      <c r="G74" s="7" t="str">
        <f t="shared" si="9"/>
        <v>62歳04ヶ月10日</v>
      </c>
      <c r="I74" s="3" t="str">
        <f t="shared" si="5"/>
        <v/>
      </c>
      <c r="J74" s="4" t="str">
        <f t="shared" si="6"/>
        <v>○</v>
      </c>
    </row>
    <row r="75" spans="1:10" x14ac:dyDescent="0.15">
      <c r="A75" s="5">
        <v>20250611100000</v>
      </c>
      <c r="B75" s="5" t="str">
        <f t="shared" si="7"/>
        <v>20250611</v>
      </c>
      <c r="C75" s="5">
        <v>20250610115630</v>
      </c>
      <c r="D75" s="5" t="str">
        <f t="shared" si="8"/>
        <v>20250610</v>
      </c>
      <c r="E75" s="6" t="s">
        <v>4</v>
      </c>
      <c r="F75" s="5">
        <v>300327</v>
      </c>
      <c r="G75" s="7" t="str">
        <f t="shared" si="9"/>
        <v>30歳03ヶ月27日</v>
      </c>
      <c r="I75" s="3" t="str">
        <f t="shared" si="5"/>
        <v/>
      </c>
      <c r="J75" s="4" t="str">
        <f t="shared" si="6"/>
        <v>○</v>
      </c>
    </row>
    <row r="76" spans="1:10" x14ac:dyDescent="0.15">
      <c r="A76" s="5">
        <v>20250611100200</v>
      </c>
      <c r="B76" s="5" t="str">
        <f t="shared" si="7"/>
        <v>20250611</v>
      </c>
      <c r="C76" s="5">
        <v>20250516175935</v>
      </c>
      <c r="D76" s="5" t="str">
        <f t="shared" si="8"/>
        <v>20250516</v>
      </c>
      <c r="E76" s="6" t="s">
        <v>5</v>
      </c>
      <c r="F76" s="5">
        <v>500507</v>
      </c>
      <c r="G76" s="7" t="str">
        <f t="shared" si="9"/>
        <v>50歳05ヶ月07日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20250611100500</v>
      </c>
      <c r="B77" s="5" t="str">
        <f t="shared" si="7"/>
        <v>20250611</v>
      </c>
      <c r="C77" s="5">
        <v>20250528092212</v>
      </c>
      <c r="D77" s="5" t="str">
        <f t="shared" si="8"/>
        <v>20250528</v>
      </c>
      <c r="E77" s="6" t="s">
        <v>4</v>
      </c>
      <c r="F77" s="5">
        <v>700025</v>
      </c>
      <c r="G77" s="7" t="str">
        <f t="shared" si="9"/>
        <v>70歳00ヶ月25日</v>
      </c>
      <c r="I77" s="3" t="str">
        <f t="shared" si="5"/>
        <v/>
      </c>
      <c r="J77" s="4" t="str">
        <f t="shared" si="6"/>
        <v>○</v>
      </c>
    </row>
    <row r="78" spans="1:10" x14ac:dyDescent="0.15">
      <c r="A78" s="5">
        <v>20250611101200</v>
      </c>
      <c r="B78" s="5" t="str">
        <f t="shared" si="7"/>
        <v>20250611</v>
      </c>
      <c r="C78" s="5">
        <v>20250609094721</v>
      </c>
      <c r="D78" s="5" t="str">
        <f t="shared" si="8"/>
        <v>20250609</v>
      </c>
      <c r="E78" s="6" t="s">
        <v>5</v>
      </c>
      <c r="F78" s="5">
        <v>710806</v>
      </c>
      <c r="G78" s="7" t="str">
        <f t="shared" si="9"/>
        <v>71歳08ヶ月06日</v>
      </c>
      <c r="I78" s="3" t="str">
        <f t="shared" si="5"/>
        <v/>
      </c>
      <c r="J78" s="4" t="str">
        <f t="shared" si="6"/>
        <v>○</v>
      </c>
    </row>
    <row r="79" spans="1:10" x14ac:dyDescent="0.15">
      <c r="A79" s="5">
        <v>20250611115200</v>
      </c>
      <c r="B79" s="5" t="str">
        <f t="shared" si="7"/>
        <v>20250611</v>
      </c>
      <c r="C79" s="5">
        <v>20250611112854</v>
      </c>
      <c r="D79" s="5" t="str">
        <f t="shared" si="8"/>
        <v>20250611</v>
      </c>
      <c r="E79" s="6" t="s">
        <v>4</v>
      </c>
      <c r="F79" s="5">
        <v>870502</v>
      </c>
      <c r="G79" s="7" t="str">
        <f t="shared" si="9"/>
        <v>87歳05ヶ月02日</v>
      </c>
      <c r="I79" s="3" t="str">
        <f t="shared" si="5"/>
        <v>○</v>
      </c>
      <c r="J79" s="4" t="str">
        <f t="shared" si="6"/>
        <v/>
      </c>
    </row>
    <row r="80" spans="1:10" x14ac:dyDescent="0.15">
      <c r="A80" s="5">
        <v>20250611115500</v>
      </c>
      <c r="B80" s="5" t="str">
        <f t="shared" si="7"/>
        <v>20250611</v>
      </c>
      <c r="C80" s="5">
        <v>20250611113852</v>
      </c>
      <c r="D80" s="5" t="str">
        <f t="shared" si="8"/>
        <v>20250611</v>
      </c>
      <c r="E80" s="6" t="s">
        <v>4</v>
      </c>
      <c r="F80" s="5">
        <v>490122</v>
      </c>
      <c r="G80" s="7" t="str">
        <f t="shared" si="9"/>
        <v>49歳01ヶ月22日</v>
      </c>
      <c r="I80" s="3" t="str">
        <f t="shared" si="5"/>
        <v>○</v>
      </c>
      <c r="J80" s="4" t="str">
        <f t="shared" si="6"/>
        <v/>
      </c>
    </row>
    <row r="81" spans="1:10" x14ac:dyDescent="0.15">
      <c r="A81" s="5">
        <v>20250611130600</v>
      </c>
      <c r="B81" s="5" t="str">
        <f t="shared" si="7"/>
        <v>20250611</v>
      </c>
      <c r="C81" s="5">
        <v>20250611122809</v>
      </c>
      <c r="D81" s="5" t="str">
        <f t="shared" si="8"/>
        <v>20250611</v>
      </c>
      <c r="E81" s="6" t="s">
        <v>4</v>
      </c>
      <c r="F81" s="5">
        <v>640011</v>
      </c>
      <c r="G81" s="7" t="str">
        <f t="shared" si="9"/>
        <v>64歳00ヶ月11日</v>
      </c>
      <c r="I81" s="3" t="str">
        <f t="shared" si="5"/>
        <v>○</v>
      </c>
      <c r="J81" s="4" t="str">
        <f t="shared" si="6"/>
        <v/>
      </c>
    </row>
    <row r="82" spans="1:10" x14ac:dyDescent="0.15">
      <c r="A82" s="5">
        <v>20250611131900</v>
      </c>
      <c r="B82" s="5" t="str">
        <f t="shared" si="7"/>
        <v>20250611</v>
      </c>
      <c r="C82" s="5">
        <v>20250611124006</v>
      </c>
      <c r="D82" s="5" t="str">
        <f t="shared" si="8"/>
        <v>20250611</v>
      </c>
      <c r="E82" s="6" t="s">
        <v>5</v>
      </c>
      <c r="F82" s="5">
        <v>560513</v>
      </c>
      <c r="G82" s="7" t="str">
        <f t="shared" si="9"/>
        <v>56歳05ヶ月13日</v>
      </c>
      <c r="I82" s="3" t="str">
        <f t="shared" si="5"/>
        <v>○</v>
      </c>
      <c r="J82" s="4" t="str">
        <f t="shared" si="6"/>
        <v/>
      </c>
    </row>
    <row r="83" spans="1:10" x14ac:dyDescent="0.15">
      <c r="A83" s="5">
        <v>20250611145500</v>
      </c>
      <c r="B83" s="5" t="str">
        <f t="shared" si="7"/>
        <v>20250611</v>
      </c>
      <c r="C83" s="5">
        <v>20250611130654</v>
      </c>
      <c r="D83" s="5" t="str">
        <f t="shared" si="8"/>
        <v>20250611</v>
      </c>
      <c r="E83" s="6" t="s">
        <v>4</v>
      </c>
      <c r="F83" s="5">
        <v>840725</v>
      </c>
      <c r="G83" s="7" t="str">
        <f t="shared" si="9"/>
        <v>84歳07ヶ月25日</v>
      </c>
      <c r="I83" s="3" t="str">
        <f t="shared" si="5"/>
        <v>○</v>
      </c>
      <c r="J83" s="4" t="str">
        <f t="shared" si="6"/>
        <v/>
      </c>
    </row>
    <row r="84" spans="1:10" x14ac:dyDescent="0.15">
      <c r="A84" s="5">
        <v>20250611151000</v>
      </c>
      <c r="B84" s="5" t="str">
        <f t="shared" si="7"/>
        <v>20250611</v>
      </c>
      <c r="C84" s="5">
        <v>20250602171606</v>
      </c>
      <c r="D84" s="5" t="str">
        <f t="shared" si="8"/>
        <v>20250602</v>
      </c>
      <c r="E84" s="6" t="s">
        <v>4</v>
      </c>
      <c r="F84" s="5">
        <v>540620</v>
      </c>
      <c r="G84" s="7" t="str">
        <f t="shared" si="9"/>
        <v>54歳06ヶ月20日</v>
      </c>
      <c r="I84" s="3" t="str">
        <f t="shared" si="5"/>
        <v/>
      </c>
      <c r="J84" s="4" t="str">
        <f t="shared" si="6"/>
        <v>○</v>
      </c>
    </row>
    <row r="85" spans="1:10" x14ac:dyDescent="0.15">
      <c r="A85" s="5">
        <v>20250612095200</v>
      </c>
      <c r="B85" s="5" t="str">
        <f t="shared" si="7"/>
        <v>20250612</v>
      </c>
      <c r="C85" s="5">
        <v>20250610141502</v>
      </c>
      <c r="D85" s="5" t="str">
        <f t="shared" si="8"/>
        <v>20250610</v>
      </c>
      <c r="E85" s="6" t="s">
        <v>4</v>
      </c>
      <c r="F85" s="5">
        <v>800628</v>
      </c>
      <c r="G85" s="7" t="str">
        <f t="shared" si="9"/>
        <v>80歳06ヶ月28日</v>
      </c>
      <c r="I85" s="3" t="str">
        <f t="shared" si="5"/>
        <v/>
      </c>
      <c r="J85" s="4" t="str">
        <f t="shared" si="6"/>
        <v>○</v>
      </c>
    </row>
    <row r="86" spans="1:10" x14ac:dyDescent="0.15">
      <c r="A86" s="5">
        <v>20250612161100</v>
      </c>
      <c r="B86" s="5" t="str">
        <f t="shared" si="7"/>
        <v>20250612</v>
      </c>
      <c r="C86" s="5">
        <v>20250530100218</v>
      </c>
      <c r="D86" s="5" t="str">
        <f t="shared" si="8"/>
        <v>20250530</v>
      </c>
      <c r="E86" s="6" t="s">
        <v>5</v>
      </c>
      <c r="F86" s="5">
        <v>610619</v>
      </c>
      <c r="G86" s="7" t="str">
        <f t="shared" si="9"/>
        <v>61歳06ヶ月19日</v>
      </c>
      <c r="I86" s="3" t="str">
        <f t="shared" si="5"/>
        <v/>
      </c>
      <c r="J86" s="4" t="str">
        <f t="shared" si="6"/>
        <v>○</v>
      </c>
    </row>
    <row r="87" spans="1:10" x14ac:dyDescent="0.15">
      <c r="A87" s="5">
        <v>20250612162200</v>
      </c>
      <c r="B87" s="5" t="str">
        <f t="shared" si="7"/>
        <v>20250612</v>
      </c>
      <c r="C87" s="5">
        <v>20250612151359</v>
      </c>
      <c r="D87" s="5" t="str">
        <f t="shared" si="8"/>
        <v>20250612</v>
      </c>
      <c r="E87" s="6" t="s">
        <v>5</v>
      </c>
      <c r="F87" s="5">
        <v>850415</v>
      </c>
      <c r="G87" s="7" t="str">
        <f t="shared" si="9"/>
        <v>85歳04ヶ月15日</v>
      </c>
      <c r="I87" s="3" t="str">
        <f t="shared" si="5"/>
        <v>○</v>
      </c>
      <c r="J87" s="4" t="str">
        <f t="shared" si="6"/>
        <v/>
      </c>
    </row>
    <row r="88" spans="1:10" x14ac:dyDescent="0.15">
      <c r="A88" s="5">
        <v>20250613100000</v>
      </c>
      <c r="B88" s="5" t="str">
        <f t="shared" si="7"/>
        <v>20250613</v>
      </c>
      <c r="C88" s="5">
        <v>20250612144829</v>
      </c>
      <c r="D88" s="5" t="str">
        <f t="shared" si="8"/>
        <v>20250612</v>
      </c>
      <c r="E88" s="6" t="s">
        <v>5</v>
      </c>
      <c r="F88" s="5">
        <v>970311</v>
      </c>
      <c r="G88" s="7" t="str">
        <f t="shared" si="9"/>
        <v>97歳03ヶ月11日</v>
      </c>
      <c r="I88" s="3" t="str">
        <f t="shared" si="5"/>
        <v/>
      </c>
      <c r="J88" s="4" t="str">
        <f t="shared" si="6"/>
        <v>○</v>
      </c>
    </row>
    <row r="89" spans="1:10" x14ac:dyDescent="0.15">
      <c r="A89" s="5">
        <v>20250613101500</v>
      </c>
      <c r="B89" s="5" t="str">
        <f t="shared" si="7"/>
        <v>20250613</v>
      </c>
      <c r="C89" s="5">
        <v>20250612155332</v>
      </c>
      <c r="D89" s="5" t="str">
        <f t="shared" si="8"/>
        <v>20250612</v>
      </c>
      <c r="E89" s="6" t="s">
        <v>5</v>
      </c>
      <c r="F89" s="5">
        <v>720208</v>
      </c>
      <c r="G89" s="7" t="str">
        <f t="shared" si="9"/>
        <v>72歳02ヶ月08日</v>
      </c>
      <c r="I89" s="3" t="str">
        <f t="shared" si="5"/>
        <v/>
      </c>
      <c r="J89" s="4" t="str">
        <f t="shared" si="6"/>
        <v>○</v>
      </c>
    </row>
    <row r="90" spans="1:10" x14ac:dyDescent="0.15">
      <c r="A90" s="5">
        <v>20250613101700</v>
      </c>
      <c r="B90" s="5" t="str">
        <f t="shared" si="7"/>
        <v>20250613</v>
      </c>
      <c r="C90" s="5">
        <v>20250514104534</v>
      </c>
      <c r="D90" s="5" t="str">
        <f t="shared" si="8"/>
        <v>20250514</v>
      </c>
      <c r="E90" s="6" t="s">
        <v>4</v>
      </c>
      <c r="F90" s="5">
        <v>750120</v>
      </c>
      <c r="G90" s="7" t="str">
        <f t="shared" si="9"/>
        <v>75歳01ヶ月20日</v>
      </c>
      <c r="I90" s="3" t="str">
        <f t="shared" si="5"/>
        <v/>
      </c>
      <c r="J90" s="4" t="str">
        <f t="shared" si="6"/>
        <v>○</v>
      </c>
    </row>
    <row r="91" spans="1:10" x14ac:dyDescent="0.15">
      <c r="A91" s="5">
        <v>20250613103900</v>
      </c>
      <c r="B91" s="5" t="str">
        <f t="shared" si="7"/>
        <v>20250613</v>
      </c>
      <c r="C91" s="5">
        <v>20250612171113</v>
      </c>
      <c r="D91" s="5" t="str">
        <f t="shared" si="8"/>
        <v>20250612</v>
      </c>
      <c r="E91" s="6" t="s">
        <v>5</v>
      </c>
      <c r="F91" s="5">
        <v>620118</v>
      </c>
      <c r="G91" s="7" t="str">
        <f t="shared" si="9"/>
        <v>62歳01ヶ月18日</v>
      </c>
      <c r="I91" s="3" t="str">
        <f t="shared" si="5"/>
        <v/>
      </c>
      <c r="J91" s="4" t="str">
        <f t="shared" si="6"/>
        <v>○</v>
      </c>
    </row>
    <row r="92" spans="1:10" x14ac:dyDescent="0.15">
      <c r="A92" s="5">
        <v>20250613110900</v>
      </c>
      <c r="B92" s="5" t="str">
        <f t="shared" si="7"/>
        <v>20250613</v>
      </c>
      <c r="C92" s="5">
        <v>20250613103127</v>
      </c>
      <c r="D92" s="5" t="str">
        <f t="shared" si="8"/>
        <v>20250613</v>
      </c>
      <c r="E92" s="6" t="s">
        <v>5</v>
      </c>
      <c r="F92" s="5">
        <v>450903</v>
      </c>
      <c r="G92" s="7" t="str">
        <f t="shared" si="9"/>
        <v>45歳09ヶ月03日</v>
      </c>
      <c r="I92" s="3" t="str">
        <f t="shared" si="5"/>
        <v>○</v>
      </c>
      <c r="J92" s="4" t="str">
        <f t="shared" si="6"/>
        <v/>
      </c>
    </row>
    <row r="93" spans="1:10" x14ac:dyDescent="0.15">
      <c r="A93" s="5">
        <v>20250613112300</v>
      </c>
      <c r="B93" s="5" t="str">
        <f t="shared" si="7"/>
        <v>20250613</v>
      </c>
      <c r="C93" s="5">
        <v>20250613105319</v>
      </c>
      <c r="D93" s="5" t="str">
        <f t="shared" si="8"/>
        <v>20250613</v>
      </c>
      <c r="E93" s="6" t="s">
        <v>4</v>
      </c>
      <c r="F93" s="5">
        <v>1000217</v>
      </c>
      <c r="G93" s="7" t="str">
        <f t="shared" si="9"/>
        <v>10歳00ヶ月21日</v>
      </c>
      <c r="I93" s="3" t="str">
        <f t="shared" si="5"/>
        <v>○</v>
      </c>
      <c r="J93" s="4" t="str">
        <f t="shared" si="6"/>
        <v/>
      </c>
    </row>
    <row r="94" spans="1:10" x14ac:dyDescent="0.15">
      <c r="A94" s="5">
        <v>20250613121700</v>
      </c>
      <c r="B94" s="5" t="str">
        <f t="shared" si="7"/>
        <v>20250613</v>
      </c>
      <c r="C94" s="5">
        <v>20250613114441</v>
      </c>
      <c r="D94" s="5" t="str">
        <f t="shared" si="8"/>
        <v>20250613</v>
      </c>
      <c r="E94" s="6" t="s">
        <v>4</v>
      </c>
      <c r="F94" s="5">
        <v>750808</v>
      </c>
      <c r="G94" s="7" t="str">
        <f t="shared" si="9"/>
        <v>75歳08ヶ月08日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20250613140500</v>
      </c>
      <c r="B95" s="5" t="str">
        <f t="shared" si="7"/>
        <v>20250613</v>
      </c>
      <c r="C95" s="5">
        <v>20250612134449</v>
      </c>
      <c r="D95" s="5" t="str">
        <f t="shared" si="8"/>
        <v>20250612</v>
      </c>
      <c r="E95" s="6" t="s">
        <v>5</v>
      </c>
      <c r="F95" s="5">
        <v>881114</v>
      </c>
      <c r="G95" s="7" t="str">
        <f t="shared" si="9"/>
        <v>88歳11ヶ月14日</v>
      </c>
      <c r="I95" s="3" t="str">
        <f t="shared" si="5"/>
        <v/>
      </c>
      <c r="J95" s="4" t="str">
        <f t="shared" si="6"/>
        <v>○</v>
      </c>
    </row>
    <row r="96" spans="1:10" x14ac:dyDescent="0.15">
      <c r="A96" s="5">
        <v>20250613150500</v>
      </c>
      <c r="B96" s="5" t="str">
        <f t="shared" si="7"/>
        <v>20250613</v>
      </c>
      <c r="C96" s="5">
        <v>20250613144108</v>
      </c>
      <c r="D96" s="5" t="str">
        <f t="shared" si="8"/>
        <v>20250613</v>
      </c>
      <c r="E96" s="6" t="s">
        <v>4</v>
      </c>
      <c r="F96" s="5">
        <v>710526</v>
      </c>
      <c r="G96" s="7" t="str">
        <f t="shared" si="9"/>
        <v>71歳05ヶ月26日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20250614104800</v>
      </c>
      <c r="B97" s="5" t="str">
        <f t="shared" si="7"/>
        <v>20250614</v>
      </c>
      <c r="C97" s="5">
        <v>20250614100818</v>
      </c>
      <c r="D97" s="5" t="str">
        <f t="shared" si="8"/>
        <v>20250614</v>
      </c>
      <c r="E97" s="6" t="s">
        <v>5</v>
      </c>
      <c r="F97" s="5">
        <v>571018</v>
      </c>
      <c r="G97" s="7" t="str">
        <f t="shared" si="9"/>
        <v>57歳10ヶ月18日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20250614131900</v>
      </c>
      <c r="B98" s="5" t="str">
        <f t="shared" si="7"/>
        <v>20250614</v>
      </c>
      <c r="C98" s="5">
        <v>20250614125900</v>
      </c>
      <c r="D98" s="5" t="str">
        <f t="shared" si="8"/>
        <v>20250614</v>
      </c>
      <c r="E98" s="6" t="s">
        <v>5</v>
      </c>
      <c r="F98" s="5">
        <v>500906</v>
      </c>
      <c r="G98" s="7" t="str">
        <f t="shared" si="9"/>
        <v>50歳09ヶ月06日</v>
      </c>
      <c r="I98" s="3" t="str">
        <f t="shared" si="5"/>
        <v>○</v>
      </c>
      <c r="J98" s="4" t="str">
        <f t="shared" si="6"/>
        <v/>
      </c>
    </row>
    <row r="99" spans="1:10" x14ac:dyDescent="0.15">
      <c r="A99" s="5">
        <v>20250616094800</v>
      </c>
      <c r="B99" s="5" t="str">
        <f t="shared" si="7"/>
        <v>20250616</v>
      </c>
      <c r="C99" s="5">
        <v>20250529104403</v>
      </c>
      <c r="D99" s="5" t="str">
        <f t="shared" si="8"/>
        <v>20250529</v>
      </c>
      <c r="E99" s="6" t="s">
        <v>4</v>
      </c>
      <c r="F99" s="5">
        <v>601025</v>
      </c>
      <c r="G99" s="7" t="str">
        <f t="shared" si="9"/>
        <v>60歳10ヶ月25日</v>
      </c>
      <c r="I99" s="3" t="str">
        <f t="shared" si="5"/>
        <v/>
      </c>
      <c r="J99" s="4" t="str">
        <f t="shared" si="6"/>
        <v>○</v>
      </c>
    </row>
    <row r="100" spans="1:10" x14ac:dyDescent="0.15">
      <c r="A100" s="5">
        <v>20250616135300</v>
      </c>
      <c r="B100" s="5" t="str">
        <f t="shared" si="7"/>
        <v>20250616</v>
      </c>
      <c r="C100" s="5">
        <v>20250614102437</v>
      </c>
      <c r="D100" s="5" t="str">
        <f t="shared" si="8"/>
        <v>20250614</v>
      </c>
      <c r="E100" s="6" t="s">
        <v>6</v>
      </c>
      <c r="F100" s="5">
        <v>600028</v>
      </c>
      <c r="G100" s="7" t="str">
        <f t="shared" si="9"/>
        <v>60歳00ヶ月28日</v>
      </c>
      <c r="I100" s="3" t="str">
        <f t="shared" si="5"/>
        <v/>
      </c>
      <c r="J100" s="4" t="str">
        <f t="shared" si="6"/>
        <v>○</v>
      </c>
    </row>
    <row r="101" spans="1:10" x14ac:dyDescent="0.15">
      <c r="A101" s="5">
        <v>20250616181200</v>
      </c>
      <c r="B101" s="5" t="str">
        <f t="shared" si="7"/>
        <v>20250616</v>
      </c>
      <c r="C101" s="5">
        <v>20250616175655</v>
      </c>
      <c r="D101" s="5" t="str">
        <f t="shared" si="8"/>
        <v>20250616</v>
      </c>
      <c r="E101" s="6" t="s">
        <v>5</v>
      </c>
      <c r="F101" s="5">
        <v>951103</v>
      </c>
      <c r="G101" s="7" t="str">
        <f t="shared" si="9"/>
        <v>95歳11ヶ月03日</v>
      </c>
      <c r="I101" s="3" t="str">
        <f t="shared" si="5"/>
        <v>○</v>
      </c>
      <c r="J101" s="4" t="str">
        <f t="shared" si="6"/>
        <v/>
      </c>
    </row>
    <row r="102" spans="1:10" x14ac:dyDescent="0.15">
      <c r="A102" s="5">
        <v>20250616181500</v>
      </c>
      <c r="B102" s="5" t="str">
        <f t="shared" si="7"/>
        <v>20250616</v>
      </c>
      <c r="C102" s="5">
        <v>20250616175207</v>
      </c>
      <c r="D102" s="5" t="str">
        <f t="shared" si="8"/>
        <v>20250616</v>
      </c>
      <c r="E102" s="6" t="s">
        <v>4</v>
      </c>
      <c r="F102" s="5">
        <v>860222</v>
      </c>
      <c r="G102" s="7" t="str">
        <f t="shared" si="9"/>
        <v>86歳02ヶ月22日</v>
      </c>
      <c r="I102" s="3" t="str">
        <f t="shared" si="5"/>
        <v>○</v>
      </c>
      <c r="J102" s="4" t="str">
        <f t="shared" si="6"/>
        <v/>
      </c>
    </row>
    <row r="103" spans="1:10" x14ac:dyDescent="0.15">
      <c r="A103" s="5">
        <v>20250617100200</v>
      </c>
      <c r="B103" s="5" t="str">
        <f t="shared" si="7"/>
        <v>20250617</v>
      </c>
      <c r="C103" s="5">
        <v>20250613111805</v>
      </c>
      <c r="D103" s="5" t="str">
        <f t="shared" si="8"/>
        <v>20250613</v>
      </c>
      <c r="E103" s="6" t="s">
        <v>4</v>
      </c>
      <c r="F103" s="5">
        <v>680609</v>
      </c>
      <c r="G103" s="7" t="str">
        <f t="shared" si="9"/>
        <v>68歳06ヶ月09日</v>
      </c>
      <c r="I103" s="3" t="str">
        <f t="shared" si="5"/>
        <v/>
      </c>
      <c r="J103" s="4" t="str">
        <f t="shared" si="6"/>
        <v>○</v>
      </c>
    </row>
    <row r="104" spans="1:10" x14ac:dyDescent="0.15">
      <c r="A104" s="5">
        <v>20250617111600</v>
      </c>
      <c r="B104" s="5" t="str">
        <f t="shared" si="7"/>
        <v>20250617</v>
      </c>
      <c r="C104" s="5">
        <v>20250616212437</v>
      </c>
      <c r="D104" s="5" t="str">
        <f t="shared" si="8"/>
        <v>20250616</v>
      </c>
      <c r="E104" s="6" t="s">
        <v>4</v>
      </c>
      <c r="F104" s="5">
        <v>781125</v>
      </c>
      <c r="G104" s="7" t="str">
        <f t="shared" si="9"/>
        <v>78歳11ヶ月25日</v>
      </c>
      <c r="I104" s="3" t="str">
        <f t="shared" si="5"/>
        <v/>
      </c>
      <c r="J104" s="4" t="str">
        <f t="shared" si="6"/>
        <v>○</v>
      </c>
    </row>
    <row r="105" spans="1:10" x14ac:dyDescent="0.15">
      <c r="A105" s="5">
        <v>20250617120400</v>
      </c>
      <c r="B105" s="5" t="str">
        <f t="shared" si="7"/>
        <v>20250617</v>
      </c>
      <c r="C105" s="5">
        <v>20250617113338</v>
      </c>
      <c r="D105" s="5" t="str">
        <f t="shared" si="8"/>
        <v>20250617</v>
      </c>
      <c r="E105" s="6" t="s">
        <v>4</v>
      </c>
      <c r="F105" s="5">
        <v>860020</v>
      </c>
      <c r="G105" s="7" t="str">
        <f t="shared" si="9"/>
        <v>86歳00ヶ月20日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20250617145100</v>
      </c>
      <c r="B106" s="5" t="str">
        <f t="shared" si="7"/>
        <v>20250617</v>
      </c>
      <c r="C106" s="5">
        <v>20250617144842</v>
      </c>
      <c r="D106" s="5" t="str">
        <f t="shared" si="8"/>
        <v>20250617</v>
      </c>
      <c r="E106" s="6" t="s">
        <v>5</v>
      </c>
      <c r="F106" s="5">
        <v>780901</v>
      </c>
      <c r="G106" s="7" t="str">
        <f t="shared" si="9"/>
        <v>78歳09ヶ月01日</v>
      </c>
      <c r="I106" s="3" t="str">
        <f t="shared" si="5"/>
        <v>○</v>
      </c>
      <c r="J106" s="4" t="str">
        <f t="shared" si="6"/>
        <v/>
      </c>
    </row>
    <row r="107" spans="1:10" x14ac:dyDescent="0.15">
      <c r="A107" s="5">
        <v>20250617150000</v>
      </c>
      <c r="B107" s="5" t="str">
        <f t="shared" si="7"/>
        <v>20250617</v>
      </c>
      <c r="C107" s="5">
        <v>20250424095143</v>
      </c>
      <c r="D107" s="5" t="str">
        <f t="shared" si="8"/>
        <v>20250424</v>
      </c>
      <c r="E107" s="6" t="s">
        <v>4</v>
      </c>
      <c r="F107" s="5">
        <v>700428</v>
      </c>
      <c r="G107" s="7" t="str">
        <f t="shared" si="9"/>
        <v>70歳04ヶ月28日</v>
      </c>
      <c r="I107" s="3" t="str">
        <f t="shared" si="5"/>
        <v/>
      </c>
      <c r="J107" s="4" t="str">
        <f t="shared" si="6"/>
        <v>○</v>
      </c>
    </row>
    <row r="108" spans="1:10" x14ac:dyDescent="0.15">
      <c r="A108" s="5">
        <v>20250617153000</v>
      </c>
      <c r="B108" s="5" t="str">
        <f t="shared" si="7"/>
        <v>20250617</v>
      </c>
      <c r="C108" s="5">
        <v>20250617142709</v>
      </c>
      <c r="D108" s="5" t="str">
        <f t="shared" si="8"/>
        <v>20250617</v>
      </c>
      <c r="E108" s="6" t="s">
        <v>4</v>
      </c>
      <c r="F108" s="5">
        <v>830714</v>
      </c>
      <c r="G108" s="7" t="str">
        <f t="shared" si="9"/>
        <v>83歳07ヶ月14日</v>
      </c>
      <c r="I108" s="3" t="str">
        <f t="shared" si="5"/>
        <v>○</v>
      </c>
      <c r="J108" s="4" t="str">
        <f t="shared" si="6"/>
        <v/>
      </c>
    </row>
    <row r="109" spans="1:10" x14ac:dyDescent="0.15">
      <c r="A109" s="5">
        <v>20250618094000</v>
      </c>
      <c r="B109" s="5" t="str">
        <f t="shared" si="7"/>
        <v>20250618</v>
      </c>
      <c r="C109" s="5">
        <v>20250530113941</v>
      </c>
      <c r="D109" s="5" t="str">
        <f t="shared" si="8"/>
        <v>20250530</v>
      </c>
      <c r="E109" s="6" t="s">
        <v>4</v>
      </c>
      <c r="F109" s="5">
        <v>650301</v>
      </c>
      <c r="G109" s="7" t="str">
        <f t="shared" si="9"/>
        <v>65歳03ヶ月01日</v>
      </c>
      <c r="I109" s="3" t="str">
        <f t="shared" si="5"/>
        <v/>
      </c>
      <c r="J109" s="4" t="str">
        <f t="shared" si="6"/>
        <v>○</v>
      </c>
    </row>
    <row r="110" spans="1:10" x14ac:dyDescent="0.15">
      <c r="A110" s="5">
        <v>20250618101700</v>
      </c>
      <c r="B110" s="5" t="str">
        <f t="shared" si="7"/>
        <v>20250618</v>
      </c>
      <c r="C110" s="5">
        <v>20250617133637</v>
      </c>
      <c r="D110" s="5" t="str">
        <f t="shared" si="8"/>
        <v>20250617</v>
      </c>
      <c r="E110" s="6" t="s">
        <v>4</v>
      </c>
      <c r="F110" s="5">
        <v>870704</v>
      </c>
      <c r="G110" s="7" t="str">
        <f t="shared" si="9"/>
        <v>87歳07ヶ月04日</v>
      </c>
      <c r="I110" s="3" t="str">
        <f t="shared" si="5"/>
        <v/>
      </c>
      <c r="J110" s="4" t="str">
        <f t="shared" si="6"/>
        <v>○</v>
      </c>
    </row>
    <row r="111" spans="1:10" x14ac:dyDescent="0.15">
      <c r="A111" s="5">
        <v>20250618121900</v>
      </c>
      <c r="B111" s="5" t="str">
        <f t="shared" si="7"/>
        <v>20250618</v>
      </c>
      <c r="C111" s="5">
        <v>20250602061916</v>
      </c>
      <c r="D111" s="5" t="str">
        <f t="shared" si="8"/>
        <v>20250602</v>
      </c>
      <c r="E111" s="6" t="s">
        <v>4</v>
      </c>
      <c r="F111" s="5">
        <v>860308</v>
      </c>
      <c r="G111" s="7" t="str">
        <f t="shared" si="9"/>
        <v>86歳03ヶ月08日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20250618121900</v>
      </c>
      <c r="B112" s="5" t="str">
        <f t="shared" si="7"/>
        <v>20250618</v>
      </c>
      <c r="C112" s="5">
        <v>20250618114125</v>
      </c>
      <c r="D112" s="5" t="str">
        <f t="shared" si="8"/>
        <v>20250618</v>
      </c>
      <c r="E112" s="6" t="s">
        <v>4</v>
      </c>
      <c r="F112" s="5">
        <v>860308</v>
      </c>
      <c r="G112" s="7" t="str">
        <f t="shared" si="9"/>
        <v>86歳03ヶ月08日</v>
      </c>
      <c r="I112" s="3" t="str">
        <f t="shared" si="5"/>
        <v>○</v>
      </c>
      <c r="J112" s="4" t="str">
        <f t="shared" si="6"/>
        <v/>
      </c>
    </row>
    <row r="113" spans="1:10" x14ac:dyDescent="0.15">
      <c r="A113" s="5">
        <v>20250618123600</v>
      </c>
      <c r="B113" s="5" t="str">
        <f t="shared" si="7"/>
        <v>20250618</v>
      </c>
      <c r="C113" s="5">
        <v>20250618121142</v>
      </c>
      <c r="D113" s="5" t="str">
        <f t="shared" si="8"/>
        <v>20250618</v>
      </c>
      <c r="E113" s="6" t="s">
        <v>5</v>
      </c>
      <c r="F113" s="5">
        <v>820922</v>
      </c>
      <c r="G113" s="7" t="str">
        <f t="shared" si="9"/>
        <v>82歳09ヶ月22日</v>
      </c>
      <c r="I113" s="3" t="str">
        <f t="shared" si="5"/>
        <v>○</v>
      </c>
      <c r="J113" s="4" t="str">
        <f t="shared" si="6"/>
        <v/>
      </c>
    </row>
    <row r="114" spans="1:10" x14ac:dyDescent="0.15">
      <c r="A114" s="5">
        <v>20250618130800</v>
      </c>
      <c r="B114" s="5" t="str">
        <f t="shared" si="7"/>
        <v>20250618</v>
      </c>
      <c r="C114" s="5">
        <v>20250618111716</v>
      </c>
      <c r="D114" s="5" t="str">
        <f t="shared" si="8"/>
        <v>20250618</v>
      </c>
      <c r="E114" s="6" t="s">
        <v>4</v>
      </c>
      <c r="F114" s="5">
        <v>901004</v>
      </c>
      <c r="G114" s="7" t="str">
        <f t="shared" si="9"/>
        <v>90歳10ヶ月04日</v>
      </c>
      <c r="I114" s="3" t="str">
        <f t="shared" si="5"/>
        <v>○</v>
      </c>
      <c r="J114" s="4" t="str">
        <f t="shared" si="6"/>
        <v/>
      </c>
    </row>
    <row r="115" spans="1:10" x14ac:dyDescent="0.15">
      <c r="A115" s="5">
        <v>20250618144500</v>
      </c>
      <c r="B115" s="5" t="str">
        <f t="shared" si="7"/>
        <v>20250618</v>
      </c>
      <c r="C115" s="5">
        <v>20250508093748</v>
      </c>
      <c r="D115" s="5" t="str">
        <f t="shared" si="8"/>
        <v>20250508</v>
      </c>
      <c r="E115" s="6" t="s">
        <v>4</v>
      </c>
      <c r="F115" s="5">
        <v>710603</v>
      </c>
      <c r="G115" s="7" t="str">
        <f t="shared" si="9"/>
        <v>71歳06ヶ月03日</v>
      </c>
      <c r="I115" s="3" t="str">
        <f t="shared" si="5"/>
        <v/>
      </c>
      <c r="J115" s="4" t="str">
        <f t="shared" si="6"/>
        <v>○</v>
      </c>
    </row>
    <row r="116" spans="1:10" x14ac:dyDescent="0.15">
      <c r="A116" s="5">
        <v>20250618153200</v>
      </c>
      <c r="B116" s="5" t="str">
        <f t="shared" si="7"/>
        <v>20250618</v>
      </c>
      <c r="C116" s="5">
        <v>20250618143830</v>
      </c>
      <c r="D116" s="5" t="str">
        <f t="shared" si="8"/>
        <v>20250618</v>
      </c>
      <c r="E116" s="6" t="s">
        <v>5</v>
      </c>
      <c r="F116" s="5">
        <v>510213</v>
      </c>
      <c r="G116" s="7" t="str">
        <f t="shared" si="9"/>
        <v>51歳02ヶ月13日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20250618155200</v>
      </c>
      <c r="B117" s="5" t="str">
        <f t="shared" si="7"/>
        <v>20250618</v>
      </c>
      <c r="C117" s="5">
        <v>20250618152246</v>
      </c>
      <c r="D117" s="5" t="str">
        <f t="shared" si="8"/>
        <v>20250618</v>
      </c>
      <c r="E117" s="6" t="s">
        <v>5</v>
      </c>
      <c r="F117" s="5">
        <v>700700</v>
      </c>
      <c r="G117" s="7" t="str">
        <f t="shared" si="9"/>
        <v>70歳07ヶ月00日</v>
      </c>
      <c r="I117" s="3" t="str">
        <f t="shared" si="5"/>
        <v>○</v>
      </c>
      <c r="J117" s="4" t="str">
        <f t="shared" si="6"/>
        <v/>
      </c>
    </row>
    <row r="118" spans="1:10" x14ac:dyDescent="0.15">
      <c r="A118" s="5">
        <v>20250618175200</v>
      </c>
      <c r="B118" s="5" t="str">
        <f t="shared" si="7"/>
        <v>20250618</v>
      </c>
      <c r="C118" s="5">
        <v>20250618173854</v>
      </c>
      <c r="D118" s="5" t="str">
        <f t="shared" si="8"/>
        <v>20250618</v>
      </c>
      <c r="E118" s="6" t="s">
        <v>4</v>
      </c>
      <c r="F118" s="5">
        <v>760402</v>
      </c>
      <c r="G118" s="7" t="str">
        <f t="shared" si="9"/>
        <v>76歳04ヶ月02日</v>
      </c>
      <c r="I118" s="3" t="str">
        <f t="shared" si="5"/>
        <v>○</v>
      </c>
      <c r="J118" s="4" t="str">
        <f t="shared" si="6"/>
        <v/>
      </c>
    </row>
    <row r="119" spans="1:10" x14ac:dyDescent="0.15">
      <c r="A119" s="5">
        <v>20250618211400</v>
      </c>
      <c r="B119" s="5" t="str">
        <f t="shared" si="7"/>
        <v>20250618</v>
      </c>
      <c r="C119" s="5">
        <v>20250618204003</v>
      </c>
      <c r="D119" s="5" t="str">
        <f t="shared" si="8"/>
        <v>20250618</v>
      </c>
      <c r="E119" s="6" t="s">
        <v>4</v>
      </c>
      <c r="F119" s="5">
        <v>960313</v>
      </c>
      <c r="G119" s="7" t="str">
        <f t="shared" si="9"/>
        <v>96歳03ヶ月13日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20250619100200</v>
      </c>
      <c r="B120" s="5" t="str">
        <f t="shared" si="7"/>
        <v>20250619</v>
      </c>
      <c r="C120" s="5">
        <v>20250617105216</v>
      </c>
      <c r="D120" s="5" t="str">
        <f t="shared" si="8"/>
        <v>20250617</v>
      </c>
      <c r="E120" s="6" t="s">
        <v>5</v>
      </c>
      <c r="F120" s="5">
        <v>750800</v>
      </c>
      <c r="G120" s="7" t="str">
        <f t="shared" si="9"/>
        <v>75歳08ヶ月00日</v>
      </c>
      <c r="I120" s="3" t="str">
        <f t="shared" si="5"/>
        <v/>
      </c>
      <c r="J120" s="4" t="str">
        <f t="shared" si="6"/>
        <v>○</v>
      </c>
    </row>
    <row r="121" spans="1:10" x14ac:dyDescent="0.15">
      <c r="A121" s="5">
        <v>20250619160000</v>
      </c>
      <c r="B121" s="5" t="str">
        <f t="shared" si="7"/>
        <v>20250619</v>
      </c>
      <c r="C121" s="5">
        <v>20250607104205</v>
      </c>
      <c r="D121" s="5" t="str">
        <f t="shared" si="8"/>
        <v>20250607</v>
      </c>
      <c r="E121" s="6" t="s">
        <v>5</v>
      </c>
      <c r="F121" s="5">
        <v>520310</v>
      </c>
      <c r="G121" s="7" t="str">
        <f t="shared" si="9"/>
        <v>52歳03ヶ月10日</v>
      </c>
      <c r="I121" s="3" t="str">
        <f t="shared" si="5"/>
        <v/>
      </c>
      <c r="J121" s="4" t="str">
        <f t="shared" si="6"/>
        <v>○</v>
      </c>
    </row>
    <row r="122" spans="1:10" x14ac:dyDescent="0.15">
      <c r="A122" s="5">
        <v>20250619163000</v>
      </c>
      <c r="B122" s="5" t="str">
        <f t="shared" si="7"/>
        <v>20250619</v>
      </c>
      <c r="C122" s="5">
        <v>20250619153642</v>
      </c>
      <c r="D122" s="5" t="str">
        <f t="shared" si="8"/>
        <v>20250619</v>
      </c>
      <c r="E122" s="6" t="s">
        <v>5</v>
      </c>
      <c r="F122" s="5">
        <v>800223</v>
      </c>
      <c r="G122" s="7" t="str">
        <f t="shared" si="9"/>
        <v>80歳02ヶ月23日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20250619173300</v>
      </c>
      <c r="B123" s="5" t="str">
        <f t="shared" si="7"/>
        <v>20250619</v>
      </c>
      <c r="C123" s="5">
        <v>20250619172707</v>
      </c>
      <c r="D123" s="5" t="str">
        <f t="shared" si="8"/>
        <v>20250619</v>
      </c>
      <c r="E123" s="6" t="s">
        <v>4</v>
      </c>
      <c r="F123" s="5">
        <v>900717</v>
      </c>
      <c r="G123" s="7" t="str">
        <f t="shared" si="9"/>
        <v>90歳07ヶ月17日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20250620153000</v>
      </c>
      <c r="B124" s="5" t="str">
        <f t="shared" si="7"/>
        <v>20250620</v>
      </c>
      <c r="C124" s="5">
        <v>20250620144321</v>
      </c>
      <c r="D124" s="5" t="str">
        <f t="shared" si="8"/>
        <v>20250620</v>
      </c>
      <c r="E124" s="6" t="s">
        <v>5</v>
      </c>
      <c r="F124" s="5">
        <v>751108</v>
      </c>
      <c r="G124" s="7" t="str">
        <f t="shared" si="9"/>
        <v>75歳11ヶ月08日</v>
      </c>
      <c r="I124" s="3" t="str">
        <f t="shared" si="5"/>
        <v>○</v>
      </c>
      <c r="J124" s="4" t="str">
        <f t="shared" si="6"/>
        <v/>
      </c>
    </row>
    <row r="125" spans="1:10" x14ac:dyDescent="0.15">
      <c r="A125" s="5">
        <v>20250620162400</v>
      </c>
      <c r="B125" s="5" t="str">
        <f t="shared" si="7"/>
        <v>20250620</v>
      </c>
      <c r="C125" s="5">
        <v>20250620155049</v>
      </c>
      <c r="D125" s="5" t="str">
        <f t="shared" si="8"/>
        <v>20250620</v>
      </c>
      <c r="E125" s="6" t="s">
        <v>4</v>
      </c>
      <c r="F125" s="5">
        <v>540600</v>
      </c>
      <c r="G125" s="7" t="str">
        <f t="shared" si="9"/>
        <v>54歳06ヶ月00日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20250621123300</v>
      </c>
      <c r="B126" s="5" t="str">
        <f t="shared" si="7"/>
        <v>20250621</v>
      </c>
      <c r="C126" s="5">
        <v>20250621121448</v>
      </c>
      <c r="D126" s="5" t="str">
        <f t="shared" si="8"/>
        <v>20250621</v>
      </c>
      <c r="E126" s="6" t="s">
        <v>4</v>
      </c>
      <c r="F126" s="5">
        <v>330928</v>
      </c>
      <c r="G126" s="7" t="str">
        <f t="shared" si="9"/>
        <v>33歳09ヶ月28日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20250621131900</v>
      </c>
      <c r="B127" s="5" t="str">
        <f t="shared" si="7"/>
        <v>20250621</v>
      </c>
      <c r="C127" s="5">
        <v>20250621124304</v>
      </c>
      <c r="D127" s="5" t="str">
        <f t="shared" si="8"/>
        <v>20250621</v>
      </c>
      <c r="E127" s="6" t="s">
        <v>5</v>
      </c>
      <c r="F127" s="5">
        <v>850520</v>
      </c>
      <c r="G127" s="7" t="str">
        <f t="shared" si="9"/>
        <v>85歳05ヶ月20日</v>
      </c>
      <c r="I127" s="3" t="str">
        <f t="shared" si="5"/>
        <v>○</v>
      </c>
      <c r="J127" s="4" t="str">
        <f t="shared" si="6"/>
        <v/>
      </c>
    </row>
    <row r="128" spans="1:10" x14ac:dyDescent="0.15">
      <c r="A128" s="5">
        <v>20250621132500</v>
      </c>
      <c r="B128" s="5" t="str">
        <f t="shared" si="7"/>
        <v>20250621</v>
      </c>
      <c r="C128" s="5">
        <v>20250621124055</v>
      </c>
      <c r="D128" s="5" t="str">
        <f t="shared" si="8"/>
        <v>20250621</v>
      </c>
      <c r="E128" s="6" t="s">
        <v>4</v>
      </c>
      <c r="F128" s="5">
        <v>840001</v>
      </c>
      <c r="G128" s="7" t="str">
        <f t="shared" si="9"/>
        <v>84歳00ヶ月01日</v>
      </c>
      <c r="I128" s="3" t="str">
        <f t="shared" si="5"/>
        <v>○</v>
      </c>
      <c r="J128" s="4" t="str">
        <f t="shared" si="6"/>
        <v/>
      </c>
    </row>
    <row r="129" spans="1:10" x14ac:dyDescent="0.15">
      <c r="A129" s="5">
        <v>20250622143200</v>
      </c>
      <c r="B129" s="5" t="str">
        <f t="shared" si="7"/>
        <v>20250622</v>
      </c>
      <c r="C129" s="5">
        <v>20250622142825</v>
      </c>
      <c r="D129" s="5" t="str">
        <f t="shared" si="8"/>
        <v>20250622</v>
      </c>
      <c r="E129" s="6" t="s">
        <v>5</v>
      </c>
      <c r="F129" s="5">
        <v>860414</v>
      </c>
      <c r="G129" s="7" t="str">
        <f t="shared" si="9"/>
        <v>86歳04ヶ月14日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20250623100000</v>
      </c>
      <c r="B130" s="5" t="str">
        <f t="shared" si="7"/>
        <v>20250623</v>
      </c>
      <c r="C130" s="5">
        <v>20250623095825</v>
      </c>
      <c r="D130" s="5" t="str">
        <f t="shared" si="8"/>
        <v>20250623</v>
      </c>
      <c r="E130" s="6" t="s">
        <v>5</v>
      </c>
      <c r="F130" s="5">
        <v>920416</v>
      </c>
      <c r="G130" s="7" t="str">
        <f t="shared" si="9"/>
        <v>92歳04ヶ月16日</v>
      </c>
      <c r="I130" s="3" t="str">
        <f t="shared" ref="I130:I157" si="10">IF(B130=D130,"○","")</f>
        <v>○</v>
      </c>
      <c r="J130" s="4" t="str">
        <f t="shared" ref="J130:J157" si="11">IF(B130&lt;&gt;D130,"○","")</f>
        <v/>
      </c>
    </row>
    <row r="131" spans="1:10" x14ac:dyDescent="0.15">
      <c r="A131" s="5">
        <v>20250623100500</v>
      </c>
      <c r="B131" s="5" t="str">
        <f t="shared" ref="B131:B171" si="12">MID(A131,1,8)</f>
        <v>20250623</v>
      </c>
      <c r="C131" s="5">
        <v>20250529103803</v>
      </c>
      <c r="D131" s="5" t="str">
        <f t="shared" ref="D131:D171" si="13">MID(C131,1,8)</f>
        <v>20250529</v>
      </c>
      <c r="E131" s="6" t="s">
        <v>4</v>
      </c>
      <c r="F131" s="5">
        <v>700914</v>
      </c>
      <c r="G131" s="7" t="str">
        <f t="shared" ref="G131:G171" si="14">MID(F131,1,2)&amp;"歳"&amp;MID(F131,3,2)&amp;"ヶ月"&amp;MID(F131,5,2)&amp;"日"</f>
        <v>70歳09ヶ月14日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20250623105500</v>
      </c>
      <c r="B132" s="5" t="str">
        <f t="shared" si="12"/>
        <v>20250623</v>
      </c>
      <c r="C132" s="5">
        <v>20250623104022</v>
      </c>
      <c r="D132" s="5" t="str">
        <f t="shared" si="13"/>
        <v>20250623</v>
      </c>
      <c r="E132" s="6" t="s">
        <v>4</v>
      </c>
      <c r="F132" s="5">
        <v>881029</v>
      </c>
      <c r="G132" s="7" t="str">
        <f t="shared" si="14"/>
        <v>88歳10ヶ月29日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20250623112800</v>
      </c>
      <c r="B133" s="5" t="str">
        <f t="shared" si="12"/>
        <v>20250623</v>
      </c>
      <c r="C133" s="5">
        <v>20250623104838</v>
      </c>
      <c r="D133" s="5" t="str">
        <f t="shared" si="13"/>
        <v>20250623</v>
      </c>
      <c r="E133" s="6" t="s">
        <v>4</v>
      </c>
      <c r="F133" s="5">
        <v>620210</v>
      </c>
      <c r="G133" s="7" t="str">
        <f t="shared" si="14"/>
        <v>62歳02ヶ月10日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20250623131000</v>
      </c>
      <c r="B134" s="5" t="str">
        <f t="shared" si="12"/>
        <v>20250623</v>
      </c>
      <c r="C134" s="5">
        <v>20250623124536</v>
      </c>
      <c r="D134" s="5" t="str">
        <f t="shared" si="13"/>
        <v>20250623</v>
      </c>
      <c r="E134" s="6" t="s">
        <v>4</v>
      </c>
      <c r="F134" s="5">
        <v>700009</v>
      </c>
      <c r="G134" s="7" t="str">
        <f t="shared" si="14"/>
        <v>70歳00ヶ月09日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20250623162000</v>
      </c>
      <c r="B135" s="5" t="str">
        <f t="shared" si="12"/>
        <v>20250623</v>
      </c>
      <c r="C135" s="5">
        <v>20250527100628</v>
      </c>
      <c r="D135" s="5" t="str">
        <f t="shared" si="13"/>
        <v>20250527</v>
      </c>
      <c r="E135" s="6" t="s">
        <v>5</v>
      </c>
      <c r="F135" s="5">
        <v>530712</v>
      </c>
      <c r="G135" s="7" t="str">
        <f t="shared" si="14"/>
        <v>53歳07ヶ月12日</v>
      </c>
      <c r="I135" s="3" t="str">
        <f t="shared" si="10"/>
        <v/>
      </c>
      <c r="J135" s="4" t="str">
        <f t="shared" si="11"/>
        <v>○</v>
      </c>
    </row>
    <row r="136" spans="1:10" x14ac:dyDescent="0.15">
      <c r="A136" s="5">
        <v>20250623170000</v>
      </c>
      <c r="B136" s="5" t="str">
        <f t="shared" si="12"/>
        <v>20250623</v>
      </c>
      <c r="C136" s="5">
        <v>20250623125944</v>
      </c>
      <c r="D136" s="5" t="str">
        <f t="shared" si="13"/>
        <v>20250623</v>
      </c>
      <c r="E136" s="6" t="s">
        <v>5</v>
      </c>
      <c r="F136" s="5">
        <v>901008</v>
      </c>
      <c r="G136" s="7" t="str">
        <f t="shared" si="14"/>
        <v>90歳10ヶ月08日</v>
      </c>
      <c r="I136" s="3" t="str">
        <f t="shared" si="10"/>
        <v>○</v>
      </c>
      <c r="J136" s="4" t="str">
        <f t="shared" si="11"/>
        <v/>
      </c>
    </row>
    <row r="137" spans="1:10" x14ac:dyDescent="0.15">
      <c r="A137" s="5">
        <v>20250623175000</v>
      </c>
      <c r="B137" s="5" t="str">
        <f t="shared" si="12"/>
        <v>20250623</v>
      </c>
      <c r="C137" s="5">
        <v>20250623172953</v>
      </c>
      <c r="D137" s="5" t="str">
        <f t="shared" si="13"/>
        <v>20250623</v>
      </c>
      <c r="E137" s="6" t="s">
        <v>5</v>
      </c>
      <c r="F137" s="5">
        <v>240906</v>
      </c>
      <c r="G137" s="7" t="str">
        <f t="shared" si="14"/>
        <v>24歳09ヶ月06日</v>
      </c>
      <c r="I137" s="3" t="str">
        <f t="shared" si="10"/>
        <v>○</v>
      </c>
      <c r="J137" s="4" t="str">
        <f t="shared" si="11"/>
        <v/>
      </c>
    </row>
    <row r="138" spans="1:10" x14ac:dyDescent="0.15">
      <c r="A138" s="5">
        <v>20250624092000</v>
      </c>
      <c r="B138" s="5" t="str">
        <f t="shared" si="12"/>
        <v>20250624</v>
      </c>
      <c r="C138" s="5">
        <v>20250619144307</v>
      </c>
      <c r="D138" s="5" t="str">
        <f t="shared" si="13"/>
        <v>20250619</v>
      </c>
      <c r="E138" s="6" t="s">
        <v>5</v>
      </c>
      <c r="F138" s="5">
        <v>720915</v>
      </c>
      <c r="G138" s="7" t="str">
        <f t="shared" si="14"/>
        <v>72歳09ヶ月15日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20250624103700</v>
      </c>
      <c r="B139" s="5" t="str">
        <f t="shared" si="12"/>
        <v>20250624</v>
      </c>
      <c r="C139" s="5">
        <v>20250624090931</v>
      </c>
      <c r="D139" s="5" t="str">
        <f t="shared" si="13"/>
        <v>20250624</v>
      </c>
      <c r="E139" s="6" t="s">
        <v>4</v>
      </c>
      <c r="F139" s="5">
        <v>780313</v>
      </c>
      <c r="G139" s="7" t="str">
        <f t="shared" si="14"/>
        <v>78歳03ヶ月13日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20250624104900</v>
      </c>
      <c r="B140" s="5" t="str">
        <f t="shared" si="12"/>
        <v>20250624</v>
      </c>
      <c r="C140" s="5">
        <v>20250530140326</v>
      </c>
      <c r="D140" s="5" t="str">
        <f t="shared" si="13"/>
        <v>20250530</v>
      </c>
      <c r="E140" s="6" t="s">
        <v>4</v>
      </c>
      <c r="F140" s="5">
        <v>761100</v>
      </c>
      <c r="G140" s="7" t="str">
        <f t="shared" si="14"/>
        <v>76歳11ヶ月00日</v>
      </c>
      <c r="I140" s="3" t="str">
        <f t="shared" si="10"/>
        <v/>
      </c>
      <c r="J140" s="4" t="str">
        <f t="shared" si="11"/>
        <v>○</v>
      </c>
    </row>
    <row r="141" spans="1:10" x14ac:dyDescent="0.15">
      <c r="A141" s="5">
        <v>20250624104900</v>
      </c>
      <c r="B141" s="5" t="str">
        <f t="shared" si="12"/>
        <v>20250624</v>
      </c>
      <c r="C141" s="5">
        <v>20250624104312</v>
      </c>
      <c r="D141" s="5" t="str">
        <f t="shared" si="13"/>
        <v>20250624</v>
      </c>
      <c r="E141" s="6" t="s">
        <v>4</v>
      </c>
      <c r="F141" s="5">
        <v>761100</v>
      </c>
      <c r="G141" s="7" t="str">
        <f t="shared" si="14"/>
        <v>76歳11ヶ月00日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20250624123600</v>
      </c>
      <c r="B142" s="5" t="str">
        <f t="shared" si="12"/>
        <v>20250624</v>
      </c>
      <c r="C142" s="5">
        <v>20250624113938</v>
      </c>
      <c r="D142" s="5" t="str">
        <f t="shared" si="13"/>
        <v>20250624</v>
      </c>
      <c r="E142" s="6" t="s">
        <v>5</v>
      </c>
      <c r="F142" s="5">
        <v>890214</v>
      </c>
      <c r="G142" s="7" t="str">
        <f t="shared" si="14"/>
        <v>89歳02ヶ月14日</v>
      </c>
      <c r="I142" s="3" t="str">
        <f t="shared" si="10"/>
        <v>○</v>
      </c>
      <c r="J142" s="4" t="str">
        <f t="shared" si="11"/>
        <v/>
      </c>
    </row>
    <row r="143" spans="1:10" x14ac:dyDescent="0.15">
      <c r="A143" s="5">
        <v>20250624140000</v>
      </c>
      <c r="B143" s="5" t="str">
        <f t="shared" si="12"/>
        <v>20250624</v>
      </c>
      <c r="C143" s="5">
        <v>20250624093257</v>
      </c>
      <c r="D143" s="5" t="str">
        <f t="shared" si="13"/>
        <v>20250624</v>
      </c>
      <c r="E143" s="6" t="s">
        <v>6</v>
      </c>
      <c r="F143" s="5">
        <v>850214</v>
      </c>
      <c r="G143" s="7" t="str">
        <f t="shared" si="14"/>
        <v>85歳02ヶ月14日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20250624150100</v>
      </c>
      <c r="B144" s="5" t="str">
        <f t="shared" si="12"/>
        <v>20250624</v>
      </c>
      <c r="C144" s="5">
        <v>20250620105638</v>
      </c>
      <c r="D144" s="5" t="str">
        <f t="shared" si="13"/>
        <v>20250620</v>
      </c>
      <c r="E144" s="6" t="s">
        <v>4</v>
      </c>
      <c r="F144" s="5">
        <v>520219</v>
      </c>
      <c r="G144" s="7" t="str">
        <f t="shared" si="14"/>
        <v>52歳02ヶ月19日</v>
      </c>
      <c r="I144" s="3" t="str">
        <f t="shared" si="10"/>
        <v/>
      </c>
      <c r="J144" s="4" t="str">
        <f t="shared" si="11"/>
        <v>○</v>
      </c>
    </row>
    <row r="145" spans="1:10" x14ac:dyDescent="0.15">
      <c r="A145" s="5">
        <v>20250624162300</v>
      </c>
      <c r="B145" s="5" t="str">
        <f t="shared" si="12"/>
        <v>20250624</v>
      </c>
      <c r="C145" s="5">
        <v>20250522163749</v>
      </c>
      <c r="D145" s="5" t="str">
        <f t="shared" si="13"/>
        <v>20250522</v>
      </c>
      <c r="E145" s="6" t="s">
        <v>4</v>
      </c>
      <c r="F145" s="5">
        <v>751020</v>
      </c>
      <c r="G145" s="7" t="str">
        <f t="shared" si="14"/>
        <v>75歳10ヶ月20日</v>
      </c>
      <c r="I145" s="3" t="str">
        <f t="shared" si="10"/>
        <v/>
      </c>
      <c r="J145" s="4" t="str">
        <f t="shared" si="11"/>
        <v>○</v>
      </c>
    </row>
    <row r="146" spans="1:10" x14ac:dyDescent="0.15">
      <c r="A146" s="5">
        <v>20250624190200</v>
      </c>
      <c r="B146" s="5" t="str">
        <f t="shared" si="12"/>
        <v>20250624</v>
      </c>
      <c r="C146" s="5">
        <v>20250624183833</v>
      </c>
      <c r="D146" s="5" t="str">
        <f t="shared" si="13"/>
        <v>20250624</v>
      </c>
      <c r="E146" s="6" t="s">
        <v>5</v>
      </c>
      <c r="F146" s="5">
        <v>900423</v>
      </c>
      <c r="G146" s="7" t="str">
        <f t="shared" si="14"/>
        <v>90歳04ヶ月23日</v>
      </c>
      <c r="I146" s="3" t="str">
        <f t="shared" si="10"/>
        <v>○</v>
      </c>
      <c r="J146" s="4" t="str">
        <f t="shared" si="11"/>
        <v/>
      </c>
    </row>
    <row r="147" spans="1:10" x14ac:dyDescent="0.15">
      <c r="A147" s="5">
        <v>20250625095000</v>
      </c>
      <c r="B147" s="5" t="str">
        <f t="shared" si="12"/>
        <v>20250625</v>
      </c>
      <c r="C147" s="5">
        <v>20250616165745</v>
      </c>
      <c r="D147" s="5" t="str">
        <f t="shared" si="13"/>
        <v>20250616</v>
      </c>
      <c r="E147" s="6" t="s">
        <v>5</v>
      </c>
      <c r="F147" s="5">
        <v>730024</v>
      </c>
      <c r="G147" s="7" t="str">
        <f t="shared" si="14"/>
        <v>73歳00ヶ月24日</v>
      </c>
      <c r="I147" s="3" t="str">
        <f t="shared" si="10"/>
        <v/>
      </c>
      <c r="J147" s="4" t="str">
        <f t="shared" si="11"/>
        <v>○</v>
      </c>
    </row>
    <row r="148" spans="1:10" x14ac:dyDescent="0.15">
      <c r="A148" s="5">
        <v>20250625101000</v>
      </c>
      <c r="B148" s="5" t="str">
        <f t="shared" si="12"/>
        <v>20250625</v>
      </c>
      <c r="C148" s="5">
        <v>20250613174605</v>
      </c>
      <c r="D148" s="5" t="str">
        <f t="shared" si="13"/>
        <v>20250613</v>
      </c>
      <c r="E148" s="6" t="s">
        <v>4</v>
      </c>
      <c r="F148" s="5">
        <v>660010</v>
      </c>
      <c r="G148" s="7" t="str">
        <f t="shared" si="14"/>
        <v>66歳00ヶ月10日</v>
      </c>
      <c r="I148" s="3" t="str">
        <f t="shared" si="10"/>
        <v/>
      </c>
      <c r="J148" s="4" t="str">
        <f t="shared" si="11"/>
        <v>○</v>
      </c>
    </row>
    <row r="149" spans="1:10" x14ac:dyDescent="0.15">
      <c r="A149" s="5">
        <v>20250625173900</v>
      </c>
      <c r="B149" s="5" t="str">
        <f t="shared" si="12"/>
        <v>20250625</v>
      </c>
      <c r="C149" s="5">
        <v>20250625172831</v>
      </c>
      <c r="D149" s="5" t="str">
        <f t="shared" si="13"/>
        <v>20250625</v>
      </c>
      <c r="E149" s="6" t="s">
        <v>4</v>
      </c>
      <c r="F149" s="5">
        <v>720501</v>
      </c>
      <c r="G149" s="7" t="str">
        <f t="shared" si="14"/>
        <v>72歳05ヶ月01日</v>
      </c>
      <c r="I149" s="3" t="str">
        <f t="shared" si="10"/>
        <v>○</v>
      </c>
      <c r="J149" s="4" t="str">
        <f t="shared" si="11"/>
        <v/>
      </c>
    </row>
    <row r="150" spans="1:10" x14ac:dyDescent="0.15">
      <c r="A150" s="5">
        <v>20250626093500</v>
      </c>
      <c r="B150" s="5" t="str">
        <f t="shared" si="12"/>
        <v>20250626</v>
      </c>
      <c r="C150" s="5">
        <v>20250625132315</v>
      </c>
      <c r="D150" s="5" t="str">
        <f t="shared" si="13"/>
        <v>20250625</v>
      </c>
      <c r="E150" s="6" t="s">
        <v>4</v>
      </c>
      <c r="F150" s="5">
        <v>690024</v>
      </c>
      <c r="G150" s="7" t="str">
        <f t="shared" si="14"/>
        <v>69歳00ヶ月24日</v>
      </c>
      <c r="I150" s="3" t="str">
        <f t="shared" si="10"/>
        <v/>
      </c>
      <c r="J150" s="4" t="str">
        <f t="shared" si="11"/>
        <v>○</v>
      </c>
    </row>
    <row r="151" spans="1:10" x14ac:dyDescent="0.15">
      <c r="A151" s="5">
        <v>20250626122000</v>
      </c>
      <c r="B151" s="5" t="str">
        <f t="shared" si="12"/>
        <v>20250626</v>
      </c>
      <c r="C151" s="5">
        <v>20250626120208</v>
      </c>
      <c r="D151" s="5" t="str">
        <f t="shared" si="13"/>
        <v>20250626</v>
      </c>
      <c r="E151" s="6" t="s">
        <v>4</v>
      </c>
      <c r="F151" s="5">
        <v>170119</v>
      </c>
      <c r="G151" s="7" t="str">
        <f t="shared" si="14"/>
        <v>17歳01ヶ月19日</v>
      </c>
      <c r="I151" s="3" t="str">
        <f t="shared" si="10"/>
        <v>○</v>
      </c>
      <c r="J151" s="4" t="str">
        <f t="shared" si="11"/>
        <v/>
      </c>
    </row>
    <row r="152" spans="1:10" x14ac:dyDescent="0.15">
      <c r="A152" s="5">
        <v>20250626150000</v>
      </c>
      <c r="B152" s="5" t="str">
        <f t="shared" si="12"/>
        <v>20250626</v>
      </c>
      <c r="C152" s="5">
        <v>20250626155007</v>
      </c>
      <c r="D152" s="5" t="str">
        <f t="shared" si="13"/>
        <v>20250626</v>
      </c>
      <c r="E152" s="6" t="s">
        <v>5</v>
      </c>
      <c r="F152" s="5">
        <v>771011</v>
      </c>
      <c r="G152" s="7" t="str">
        <f t="shared" si="14"/>
        <v>77歳10ヶ月11日</v>
      </c>
      <c r="I152" s="3" t="str">
        <f t="shared" si="10"/>
        <v>○</v>
      </c>
      <c r="J152" s="4" t="str">
        <f t="shared" si="11"/>
        <v/>
      </c>
    </row>
    <row r="153" spans="1:10" x14ac:dyDescent="0.15">
      <c r="A153" s="5">
        <v>20250626155300</v>
      </c>
      <c r="B153" s="5" t="str">
        <f t="shared" si="12"/>
        <v>20250626</v>
      </c>
      <c r="C153" s="5">
        <v>20250425105516</v>
      </c>
      <c r="D153" s="5" t="str">
        <f t="shared" si="13"/>
        <v>20250425</v>
      </c>
      <c r="E153" s="6" t="s">
        <v>4</v>
      </c>
      <c r="F153" s="5">
        <v>740821</v>
      </c>
      <c r="G153" s="7" t="str">
        <f t="shared" si="14"/>
        <v>74歳08ヶ月21日</v>
      </c>
      <c r="I153" s="3" t="str">
        <f t="shared" si="10"/>
        <v/>
      </c>
      <c r="J153" s="4" t="str">
        <f t="shared" si="11"/>
        <v>○</v>
      </c>
    </row>
    <row r="154" spans="1:10" x14ac:dyDescent="0.15">
      <c r="A154" s="5">
        <v>20250627093700</v>
      </c>
      <c r="B154" s="5" t="str">
        <f t="shared" si="12"/>
        <v>20250627</v>
      </c>
      <c r="C154" s="5">
        <v>20250625170809</v>
      </c>
      <c r="D154" s="5" t="str">
        <f t="shared" si="13"/>
        <v>20250625</v>
      </c>
      <c r="E154" s="6" t="s">
        <v>5</v>
      </c>
      <c r="F154" s="5">
        <v>660900</v>
      </c>
      <c r="G154" s="7" t="str">
        <f t="shared" si="14"/>
        <v>66歳09ヶ月00日</v>
      </c>
      <c r="I154" s="3" t="str">
        <f t="shared" si="10"/>
        <v/>
      </c>
      <c r="J154" s="4" t="str">
        <f t="shared" si="11"/>
        <v>○</v>
      </c>
    </row>
    <row r="155" spans="1:10" x14ac:dyDescent="0.15">
      <c r="A155" s="5">
        <v>20250627100100</v>
      </c>
      <c r="B155" s="5" t="str">
        <f t="shared" si="12"/>
        <v>20250627</v>
      </c>
      <c r="C155" s="5">
        <v>20250626114742</v>
      </c>
      <c r="D155" s="5" t="str">
        <f t="shared" si="13"/>
        <v>20250626</v>
      </c>
      <c r="E155" s="6" t="s">
        <v>5</v>
      </c>
      <c r="F155" s="5">
        <v>451000</v>
      </c>
      <c r="G155" s="7" t="str">
        <f t="shared" si="14"/>
        <v>45歳10ヶ月00日</v>
      </c>
      <c r="I155" s="3" t="str">
        <f t="shared" si="10"/>
        <v/>
      </c>
      <c r="J155" s="4" t="str">
        <f t="shared" si="11"/>
        <v>○</v>
      </c>
    </row>
    <row r="156" spans="1:10" x14ac:dyDescent="0.15">
      <c r="A156" s="5">
        <v>20250627103800</v>
      </c>
      <c r="B156" s="5" t="str">
        <f t="shared" si="12"/>
        <v>20250627</v>
      </c>
      <c r="C156" s="5">
        <v>20250627101453</v>
      </c>
      <c r="D156" s="5" t="str">
        <f t="shared" si="13"/>
        <v>20250627</v>
      </c>
      <c r="E156" s="6" t="s">
        <v>4</v>
      </c>
      <c r="F156" s="5">
        <v>690708</v>
      </c>
      <c r="G156" s="7" t="str">
        <f t="shared" si="14"/>
        <v>69歳07ヶ月08日</v>
      </c>
      <c r="I156" s="3" t="str">
        <f t="shared" si="10"/>
        <v>○</v>
      </c>
      <c r="J156" s="4" t="str">
        <f t="shared" si="11"/>
        <v/>
      </c>
    </row>
    <row r="157" spans="1:10" x14ac:dyDescent="0.15">
      <c r="A157" s="5">
        <v>20250627154000</v>
      </c>
      <c r="B157" s="5" t="str">
        <f t="shared" si="12"/>
        <v>20250627</v>
      </c>
      <c r="C157" s="5">
        <v>20250627144911</v>
      </c>
      <c r="D157" s="5" t="str">
        <f t="shared" si="13"/>
        <v>20250627</v>
      </c>
      <c r="E157" s="6" t="s">
        <v>4</v>
      </c>
      <c r="F157" s="5">
        <v>861007</v>
      </c>
      <c r="G157" s="7" t="str">
        <f t="shared" si="14"/>
        <v>86歳10ヶ月07日</v>
      </c>
      <c r="I157" s="3" t="str">
        <f t="shared" si="10"/>
        <v>○</v>
      </c>
      <c r="J157" s="4" t="str">
        <f t="shared" si="11"/>
        <v/>
      </c>
    </row>
    <row r="158" spans="1:10" x14ac:dyDescent="0.15">
      <c r="A158" s="5">
        <v>20250627154600</v>
      </c>
      <c r="B158" s="5" t="str">
        <f t="shared" si="12"/>
        <v>20250627</v>
      </c>
      <c r="C158" s="5">
        <v>20250627151113</v>
      </c>
      <c r="D158" s="5" t="str">
        <f t="shared" si="13"/>
        <v>20250627</v>
      </c>
      <c r="E158" s="6" t="s">
        <v>5</v>
      </c>
      <c r="F158" s="5">
        <v>920027</v>
      </c>
      <c r="G158" s="7" t="str">
        <f t="shared" si="14"/>
        <v>92歳00ヶ月27日</v>
      </c>
      <c r="I158" s="3" t="str">
        <f t="shared" ref="I158:I171" si="15">IF(B158=D158,"○","")</f>
        <v>○</v>
      </c>
      <c r="J158" s="4" t="str">
        <f t="shared" ref="J158:J171" si="16">IF(B158&lt;&gt;D158,"○","")</f>
        <v/>
      </c>
    </row>
    <row r="159" spans="1:10" x14ac:dyDescent="0.15">
      <c r="A159" s="5">
        <v>20250627160000</v>
      </c>
      <c r="B159" s="5" t="str">
        <f t="shared" si="12"/>
        <v>20250627</v>
      </c>
      <c r="C159" s="5">
        <v>20250527094847</v>
      </c>
      <c r="D159" s="5" t="str">
        <f t="shared" si="13"/>
        <v>20250527</v>
      </c>
      <c r="E159" s="6" t="s">
        <v>4</v>
      </c>
      <c r="F159" s="5">
        <v>651113</v>
      </c>
      <c r="G159" s="7" t="str">
        <f t="shared" si="14"/>
        <v>65歳11ヶ月13日</v>
      </c>
      <c r="I159" s="3" t="str">
        <f t="shared" si="15"/>
        <v/>
      </c>
      <c r="J159" s="4" t="str">
        <f t="shared" si="16"/>
        <v>○</v>
      </c>
    </row>
    <row r="160" spans="1:10" x14ac:dyDescent="0.15">
      <c r="A160" s="5">
        <v>20250627170000</v>
      </c>
      <c r="B160" s="5" t="str">
        <f t="shared" si="12"/>
        <v>20250627</v>
      </c>
      <c r="C160" s="5">
        <v>20250627163821</v>
      </c>
      <c r="D160" s="5" t="str">
        <f t="shared" si="13"/>
        <v>20250627</v>
      </c>
      <c r="E160" s="6" t="s">
        <v>5</v>
      </c>
      <c r="F160" s="5">
        <v>901000</v>
      </c>
      <c r="G160" s="7" t="str">
        <f t="shared" si="14"/>
        <v>90歳10ヶ月00日</v>
      </c>
      <c r="I160" s="3" t="str">
        <f t="shared" si="15"/>
        <v>○</v>
      </c>
      <c r="J160" s="4" t="str">
        <f t="shared" si="16"/>
        <v/>
      </c>
    </row>
    <row r="161" spans="1:10" x14ac:dyDescent="0.15">
      <c r="A161" s="5">
        <v>20250628095200</v>
      </c>
      <c r="B161" s="5" t="str">
        <f t="shared" si="12"/>
        <v>20250628</v>
      </c>
      <c r="C161" s="5">
        <v>20250627170303</v>
      </c>
      <c r="D161" s="5" t="str">
        <f t="shared" si="13"/>
        <v>20250627</v>
      </c>
      <c r="E161" s="6" t="s">
        <v>4</v>
      </c>
      <c r="F161" s="5">
        <v>820003</v>
      </c>
      <c r="G161" s="7" t="str">
        <f t="shared" si="14"/>
        <v>82歳00ヶ月03日</v>
      </c>
      <c r="I161" s="3" t="str">
        <f t="shared" si="15"/>
        <v/>
      </c>
      <c r="J161" s="4" t="str">
        <f t="shared" si="16"/>
        <v>○</v>
      </c>
    </row>
    <row r="162" spans="1:10" x14ac:dyDescent="0.15">
      <c r="A162" s="5">
        <v>20250628104100</v>
      </c>
      <c r="B162" s="5" t="str">
        <f t="shared" si="12"/>
        <v>20250628</v>
      </c>
      <c r="C162" s="5">
        <v>20250628101300</v>
      </c>
      <c r="D162" s="5" t="str">
        <f t="shared" si="13"/>
        <v>20250628</v>
      </c>
      <c r="E162" s="6" t="s">
        <v>5</v>
      </c>
      <c r="F162" s="5">
        <v>730425</v>
      </c>
      <c r="G162" s="7" t="str">
        <f t="shared" si="14"/>
        <v>73歳04ヶ月25日</v>
      </c>
      <c r="I162" s="3" t="str">
        <f t="shared" si="15"/>
        <v>○</v>
      </c>
      <c r="J162" s="4" t="str">
        <f t="shared" si="16"/>
        <v/>
      </c>
    </row>
    <row r="163" spans="1:10" x14ac:dyDescent="0.15">
      <c r="A163" s="5">
        <v>20250628122600</v>
      </c>
      <c r="B163" s="5" t="str">
        <f t="shared" si="12"/>
        <v>20250628</v>
      </c>
      <c r="C163" s="5">
        <v>20250628114928</v>
      </c>
      <c r="D163" s="5" t="str">
        <f t="shared" si="13"/>
        <v>20250628</v>
      </c>
      <c r="E163" s="6" t="s">
        <v>4</v>
      </c>
      <c r="F163" s="5">
        <v>631123</v>
      </c>
      <c r="G163" s="7" t="str">
        <f t="shared" si="14"/>
        <v>63歳11ヶ月23日</v>
      </c>
      <c r="I163" s="3" t="str">
        <f t="shared" si="15"/>
        <v>○</v>
      </c>
      <c r="J163" s="4" t="str">
        <f t="shared" si="16"/>
        <v/>
      </c>
    </row>
    <row r="164" spans="1:10" x14ac:dyDescent="0.15">
      <c r="A164" s="5">
        <v>20250628124900</v>
      </c>
      <c r="B164" s="5" t="str">
        <f t="shared" si="12"/>
        <v>20250628</v>
      </c>
      <c r="C164" s="5">
        <v>20250628114909</v>
      </c>
      <c r="D164" s="5" t="str">
        <f t="shared" si="13"/>
        <v>20250628</v>
      </c>
      <c r="E164" s="6" t="s">
        <v>5</v>
      </c>
      <c r="F164" s="5">
        <v>540204</v>
      </c>
      <c r="G164" s="7" t="str">
        <f t="shared" si="14"/>
        <v>54歳02ヶ月04日</v>
      </c>
      <c r="I164" s="3" t="str">
        <f t="shared" si="15"/>
        <v>○</v>
      </c>
      <c r="J164" s="4" t="str">
        <f t="shared" si="16"/>
        <v/>
      </c>
    </row>
    <row r="165" spans="1:10" x14ac:dyDescent="0.15">
      <c r="A165" s="5">
        <v>20250630100700</v>
      </c>
      <c r="B165" s="5" t="str">
        <f t="shared" si="12"/>
        <v>20250630</v>
      </c>
      <c r="C165" s="5">
        <v>20250630084812</v>
      </c>
      <c r="D165" s="5" t="str">
        <f t="shared" si="13"/>
        <v>20250630</v>
      </c>
      <c r="E165" s="6" t="s">
        <v>5</v>
      </c>
      <c r="F165" s="5">
        <v>720712</v>
      </c>
      <c r="G165" s="7" t="str">
        <f t="shared" si="14"/>
        <v>72歳07ヶ月12日</v>
      </c>
      <c r="I165" s="3" t="str">
        <f t="shared" si="15"/>
        <v>○</v>
      </c>
      <c r="J165" s="4" t="str">
        <f t="shared" si="16"/>
        <v/>
      </c>
    </row>
    <row r="166" spans="1:10" x14ac:dyDescent="0.15">
      <c r="A166" s="5">
        <v>20250630103200</v>
      </c>
      <c r="B166" s="5" t="str">
        <f t="shared" si="12"/>
        <v>20250630</v>
      </c>
      <c r="C166" s="5">
        <v>20250605103656</v>
      </c>
      <c r="D166" s="5" t="str">
        <f t="shared" si="13"/>
        <v>20250605</v>
      </c>
      <c r="E166" s="6" t="s">
        <v>4</v>
      </c>
      <c r="F166" s="5">
        <v>681115</v>
      </c>
      <c r="G166" s="7" t="str">
        <f t="shared" si="14"/>
        <v>68歳11ヶ月15日</v>
      </c>
      <c r="I166" s="3" t="str">
        <f t="shared" si="15"/>
        <v/>
      </c>
      <c r="J166" s="4" t="str">
        <f t="shared" si="16"/>
        <v>○</v>
      </c>
    </row>
    <row r="167" spans="1:10" x14ac:dyDescent="0.15">
      <c r="A167" s="5">
        <v>20250630120700</v>
      </c>
      <c r="B167" s="5" t="str">
        <f t="shared" si="12"/>
        <v>20250630</v>
      </c>
      <c r="C167" s="5">
        <v>20250630112925</v>
      </c>
      <c r="D167" s="5" t="str">
        <f t="shared" si="13"/>
        <v>20250630</v>
      </c>
      <c r="E167" s="6" t="s">
        <v>4</v>
      </c>
      <c r="F167" s="5">
        <v>850526</v>
      </c>
      <c r="G167" s="7" t="str">
        <f t="shared" si="14"/>
        <v>85歳05ヶ月26日</v>
      </c>
      <c r="I167" s="3" t="str">
        <f t="shared" si="15"/>
        <v>○</v>
      </c>
      <c r="J167" s="4" t="str">
        <f t="shared" si="16"/>
        <v/>
      </c>
    </row>
    <row r="168" spans="1:10" x14ac:dyDescent="0.15">
      <c r="A168" s="5">
        <v>20250630141800</v>
      </c>
      <c r="B168" s="5" t="str">
        <f t="shared" si="12"/>
        <v>20250630</v>
      </c>
      <c r="C168" s="5">
        <v>20250630132548</v>
      </c>
      <c r="D168" s="5" t="str">
        <f t="shared" si="13"/>
        <v>20250630</v>
      </c>
      <c r="E168" s="6" t="s">
        <v>5</v>
      </c>
      <c r="F168" s="5">
        <v>830304</v>
      </c>
      <c r="G168" s="7" t="str">
        <f t="shared" si="14"/>
        <v>83歳03ヶ月04日</v>
      </c>
      <c r="I168" s="3" t="str">
        <f t="shared" si="15"/>
        <v>○</v>
      </c>
      <c r="J168" s="4" t="str">
        <f t="shared" si="16"/>
        <v/>
      </c>
    </row>
    <row r="169" spans="1:10" x14ac:dyDescent="0.15">
      <c r="A169" s="5">
        <v>20250630143600</v>
      </c>
      <c r="B169" s="5" t="str">
        <f t="shared" si="12"/>
        <v>20250630</v>
      </c>
      <c r="C169" s="5">
        <v>20250630132744</v>
      </c>
      <c r="D169" s="5" t="str">
        <f t="shared" si="13"/>
        <v>20250630</v>
      </c>
      <c r="E169" s="6" t="s">
        <v>5</v>
      </c>
      <c r="F169" s="5">
        <v>200326</v>
      </c>
      <c r="G169" s="7" t="str">
        <f t="shared" si="14"/>
        <v>20歳03ヶ月26日</v>
      </c>
      <c r="I169" s="3" t="str">
        <f t="shared" si="15"/>
        <v>○</v>
      </c>
      <c r="J169" s="4" t="str">
        <f t="shared" si="16"/>
        <v/>
      </c>
    </row>
    <row r="170" spans="1:10" x14ac:dyDescent="0.15">
      <c r="A170" s="5">
        <v>20250630144600</v>
      </c>
      <c r="B170" s="5" t="str">
        <f t="shared" si="12"/>
        <v>20250630</v>
      </c>
      <c r="C170" s="5">
        <v>20250630123901</v>
      </c>
      <c r="D170" s="5" t="str">
        <f t="shared" si="13"/>
        <v>20250630</v>
      </c>
      <c r="E170" s="6" t="s">
        <v>4</v>
      </c>
      <c r="F170" s="5">
        <v>950815</v>
      </c>
      <c r="G170" s="7" t="str">
        <f t="shared" si="14"/>
        <v>95歳08ヶ月15日</v>
      </c>
      <c r="I170" s="3" t="str">
        <f t="shared" si="15"/>
        <v>○</v>
      </c>
      <c r="J170" s="4" t="str">
        <f t="shared" si="16"/>
        <v/>
      </c>
    </row>
    <row r="171" spans="1:10" x14ac:dyDescent="0.15">
      <c r="A171" s="5">
        <v>20250630163700</v>
      </c>
      <c r="B171" s="5" t="str">
        <f t="shared" si="12"/>
        <v>20250630</v>
      </c>
      <c r="C171" s="5">
        <v>20250630152925</v>
      </c>
      <c r="D171" s="5" t="str">
        <f t="shared" si="13"/>
        <v>20250630</v>
      </c>
      <c r="E171" s="6" t="s">
        <v>5</v>
      </c>
      <c r="F171" s="5">
        <v>790710</v>
      </c>
      <c r="G171" s="7" t="str">
        <f t="shared" si="14"/>
        <v>79歳07ヶ月10日</v>
      </c>
      <c r="I171" s="3" t="str">
        <f t="shared" si="15"/>
        <v>○</v>
      </c>
      <c r="J171" s="4" t="str">
        <f t="shared" si="16"/>
        <v/>
      </c>
    </row>
  </sheetData>
  <autoFilter ref="A1:G171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クエリ_オーダ_移動【2025年6月】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2025-06-30T22:19:24Z</dcterms:created>
  <dcterms:modified xsi:type="dcterms:W3CDTF">2026-04-17T00:52:33Z</dcterms:modified>
</cp:coreProperties>
</file>