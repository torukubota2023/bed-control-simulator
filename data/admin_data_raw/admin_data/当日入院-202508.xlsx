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7BF09BBA-E50F-46AC-9C77-C97D818962C4}" xr6:coauthVersionLast="47" xr6:coauthVersionMax="47" xr10:uidLastSave="{AE9E0B77-B78E-467D-B5E9-653B7DF5BE51}"/>
  <bookViews>
    <workbookView xWindow="-120" yWindow="-120" windowWidth="29040" windowHeight="15720" xr2:uid="{00000000-000D-0000-FFFF-FFFF00000000}"/>
  </bookViews>
  <sheets>
    <sheet name="クエリ_オーダ_移動【2025年8月】" sheetId="1" r:id="rId1"/>
  </sheets>
  <definedNames>
    <definedName name="_xlnm._FilterDatabase" localSheetId="0" hidden="1">クエリ_オーダ_移動【2025年8月】!$A$1:$G$186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2" i="1" l="1"/>
  <c r="I100" i="1"/>
  <c r="I76" i="1"/>
  <c r="J68" i="1"/>
  <c r="I58" i="1"/>
  <c r="J46" i="1"/>
  <c r="J28" i="1"/>
  <c r="J16" i="1"/>
  <c r="I10" i="1"/>
  <c r="J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2" i="1"/>
  <c r="D3" i="1"/>
  <c r="D4" i="1"/>
  <c r="D5" i="1"/>
  <c r="D6" i="1"/>
  <c r="J6" i="1" s="1"/>
  <c r="D7" i="1"/>
  <c r="I7" i="1" s="1"/>
  <c r="D8" i="1"/>
  <c r="D9" i="1"/>
  <c r="D10" i="1"/>
  <c r="D11" i="1"/>
  <c r="D12" i="1"/>
  <c r="D13" i="1"/>
  <c r="D14" i="1"/>
  <c r="D15" i="1"/>
  <c r="D16" i="1"/>
  <c r="D17" i="1"/>
  <c r="D18" i="1"/>
  <c r="J18" i="1" s="1"/>
  <c r="D19" i="1"/>
  <c r="I19" i="1" s="1"/>
  <c r="D20" i="1"/>
  <c r="D21" i="1"/>
  <c r="D22" i="1"/>
  <c r="D23" i="1"/>
  <c r="D24" i="1"/>
  <c r="D25" i="1"/>
  <c r="D26" i="1"/>
  <c r="D27" i="1"/>
  <c r="D28" i="1"/>
  <c r="D29" i="1"/>
  <c r="D30" i="1"/>
  <c r="J30" i="1" s="1"/>
  <c r="D31" i="1"/>
  <c r="J31" i="1" s="1"/>
  <c r="D32" i="1"/>
  <c r="D33" i="1"/>
  <c r="D34" i="1"/>
  <c r="D35" i="1"/>
  <c r="D36" i="1"/>
  <c r="D37" i="1"/>
  <c r="D38" i="1"/>
  <c r="D39" i="1"/>
  <c r="D40" i="1"/>
  <c r="D41" i="1"/>
  <c r="D42" i="1"/>
  <c r="J42" i="1" s="1"/>
  <c r="D43" i="1"/>
  <c r="I43" i="1" s="1"/>
  <c r="D44" i="1"/>
  <c r="D45" i="1"/>
  <c r="D46" i="1"/>
  <c r="D47" i="1"/>
  <c r="D48" i="1"/>
  <c r="D49" i="1"/>
  <c r="D50" i="1"/>
  <c r="D51" i="1"/>
  <c r="D52" i="1"/>
  <c r="D53" i="1"/>
  <c r="D54" i="1"/>
  <c r="J54" i="1" s="1"/>
  <c r="D55" i="1"/>
  <c r="J55" i="1" s="1"/>
  <c r="D56" i="1"/>
  <c r="D57" i="1"/>
  <c r="D58" i="1"/>
  <c r="D59" i="1"/>
  <c r="D60" i="1"/>
  <c r="D61" i="1"/>
  <c r="D62" i="1"/>
  <c r="D63" i="1"/>
  <c r="D64" i="1"/>
  <c r="D65" i="1"/>
  <c r="D66" i="1"/>
  <c r="J66" i="1" s="1"/>
  <c r="D67" i="1"/>
  <c r="J67" i="1" s="1"/>
  <c r="D68" i="1"/>
  <c r="D69" i="1"/>
  <c r="D70" i="1"/>
  <c r="D71" i="1"/>
  <c r="D72" i="1"/>
  <c r="D73" i="1"/>
  <c r="D74" i="1"/>
  <c r="D75" i="1"/>
  <c r="D76" i="1"/>
  <c r="D77" i="1"/>
  <c r="D78" i="1"/>
  <c r="J78" i="1" s="1"/>
  <c r="D79" i="1"/>
  <c r="I79" i="1" s="1"/>
  <c r="D80" i="1"/>
  <c r="D81" i="1"/>
  <c r="D82" i="1"/>
  <c r="D83" i="1"/>
  <c r="D84" i="1"/>
  <c r="D85" i="1"/>
  <c r="D86" i="1"/>
  <c r="D87" i="1"/>
  <c r="D88" i="1"/>
  <c r="D89" i="1"/>
  <c r="D90" i="1"/>
  <c r="J90" i="1" s="1"/>
  <c r="D91" i="1"/>
  <c r="I91" i="1" s="1"/>
  <c r="D92" i="1"/>
  <c r="D93" i="1"/>
  <c r="D94" i="1"/>
  <c r="D95" i="1"/>
  <c r="D96" i="1"/>
  <c r="D97" i="1"/>
  <c r="D98" i="1"/>
  <c r="D99" i="1"/>
  <c r="D100" i="1"/>
  <c r="D101" i="1"/>
  <c r="D102" i="1"/>
  <c r="J102" i="1" s="1"/>
  <c r="D103" i="1"/>
  <c r="J103" i="1" s="1"/>
  <c r="D104" i="1"/>
  <c r="D105" i="1"/>
  <c r="D106" i="1"/>
  <c r="D107" i="1"/>
  <c r="D108" i="1"/>
  <c r="D109" i="1"/>
  <c r="D110" i="1"/>
  <c r="D111" i="1"/>
  <c r="D112" i="1"/>
  <c r="D113" i="1"/>
  <c r="D114" i="1"/>
  <c r="J114" i="1" s="1"/>
  <c r="D115" i="1"/>
  <c r="J115" i="1" s="1"/>
  <c r="D116" i="1"/>
  <c r="D117" i="1"/>
  <c r="D118" i="1"/>
  <c r="D119" i="1"/>
  <c r="D120" i="1"/>
  <c r="D121" i="1"/>
  <c r="D122" i="1"/>
  <c r="D123" i="1"/>
  <c r="D124" i="1"/>
  <c r="D125" i="1"/>
  <c r="D126" i="1"/>
  <c r="J126" i="1" s="1"/>
  <c r="D127" i="1"/>
  <c r="J127" i="1" s="1"/>
  <c r="D128" i="1"/>
  <c r="D129" i="1"/>
  <c r="D130" i="1"/>
  <c r="D131" i="1"/>
  <c r="D132" i="1"/>
  <c r="D133" i="1"/>
  <c r="D134" i="1"/>
  <c r="D135" i="1"/>
  <c r="D136" i="1"/>
  <c r="D137" i="1"/>
  <c r="D138" i="1"/>
  <c r="J138" i="1" s="1"/>
  <c r="D139" i="1"/>
  <c r="J139" i="1" s="1"/>
  <c r="D140" i="1"/>
  <c r="D141" i="1"/>
  <c r="D142" i="1"/>
  <c r="D143" i="1"/>
  <c r="D144" i="1"/>
  <c r="D145" i="1"/>
  <c r="D146" i="1"/>
  <c r="D147" i="1"/>
  <c r="D148" i="1"/>
  <c r="D149" i="1"/>
  <c r="D150" i="1"/>
  <c r="J150" i="1" s="1"/>
  <c r="D151" i="1"/>
  <c r="J151" i="1" s="1"/>
  <c r="D152" i="1"/>
  <c r="D153" i="1"/>
  <c r="D154" i="1"/>
  <c r="D155" i="1"/>
  <c r="D156" i="1"/>
  <c r="D157" i="1"/>
  <c r="D158" i="1"/>
  <c r="D159" i="1"/>
  <c r="D160" i="1"/>
  <c r="D161" i="1"/>
  <c r="D162" i="1"/>
  <c r="J162" i="1" s="1"/>
  <c r="D163" i="1"/>
  <c r="J163" i="1" s="1"/>
  <c r="D164" i="1"/>
  <c r="D165" i="1"/>
  <c r="D166" i="1"/>
  <c r="D167" i="1"/>
  <c r="D168" i="1"/>
  <c r="D169" i="1"/>
  <c r="D170" i="1"/>
  <c r="D171" i="1"/>
  <c r="D172" i="1"/>
  <c r="D173" i="1"/>
  <c r="D174" i="1"/>
  <c r="J174" i="1" s="1"/>
  <c r="D175" i="1"/>
  <c r="J175" i="1" s="1"/>
  <c r="D176" i="1"/>
  <c r="D177" i="1"/>
  <c r="D178" i="1"/>
  <c r="D179" i="1"/>
  <c r="D180" i="1"/>
  <c r="D181" i="1"/>
  <c r="D182" i="1"/>
  <c r="D183" i="1"/>
  <c r="D184" i="1"/>
  <c r="D185" i="1"/>
  <c r="D186" i="1"/>
  <c r="J186" i="1" s="1"/>
  <c r="D2" i="1"/>
  <c r="I2" i="1" s="1"/>
  <c r="B3" i="1"/>
  <c r="J3" i="1" s="1"/>
  <c r="B4" i="1"/>
  <c r="J4" i="1" s="1"/>
  <c r="B5" i="1"/>
  <c r="J5" i="1" s="1"/>
  <c r="B6" i="1"/>
  <c r="B7" i="1"/>
  <c r="B8" i="1"/>
  <c r="I8" i="1" s="1"/>
  <c r="B9" i="1"/>
  <c r="J9" i="1" s="1"/>
  <c r="B10" i="1"/>
  <c r="J10" i="1" s="1"/>
  <c r="B11" i="1"/>
  <c r="J11" i="1" s="1"/>
  <c r="B12" i="1"/>
  <c r="I12" i="1" s="1"/>
  <c r="B13" i="1"/>
  <c r="J13" i="1" s="1"/>
  <c r="B14" i="1"/>
  <c r="I14" i="1" s="1"/>
  <c r="B15" i="1"/>
  <c r="J15" i="1" s="1"/>
  <c r="B16" i="1"/>
  <c r="I16" i="1" s="1"/>
  <c r="B17" i="1"/>
  <c r="J17" i="1" s="1"/>
  <c r="B18" i="1"/>
  <c r="B19" i="1"/>
  <c r="B20" i="1"/>
  <c r="J20" i="1" s="1"/>
  <c r="B21" i="1"/>
  <c r="I21" i="1" s="1"/>
  <c r="B22" i="1"/>
  <c r="J22" i="1" s="1"/>
  <c r="B23" i="1"/>
  <c r="J23" i="1" s="1"/>
  <c r="B24" i="1"/>
  <c r="I24" i="1" s="1"/>
  <c r="B25" i="1"/>
  <c r="J25" i="1" s="1"/>
  <c r="B26" i="1"/>
  <c r="J26" i="1" s="1"/>
  <c r="B27" i="1"/>
  <c r="B28" i="1"/>
  <c r="I28" i="1" s="1"/>
  <c r="B29" i="1"/>
  <c r="J29" i="1" s="1"/>
  <c r="B30" i="1"/>
  <c r="B31" i="1"/>
  <c r="B32" i="1"/>
  <c r="J32" i="1" s="1"/>
  <c r="B33" i="1"/>
  <c r="J33" i="1" s="1"/>
  <c r="B34" i="1"/>
  <c r="B35" i="1"/>
  <c r="B36" i="1"/>
  <c r="I36" i="1" s="1"/>
  <c r="B37" i="1"/>
  <c r="J37" i="1" s="1"/>
  <c r="B38" i="1"/>
  <c r="I38" i="1" s="1"/>
  <c r="B39" i="1"/>
  <c r="J39" i="1" s="1"/>
  <c r="B40" i="1"/>
  <c r="J40" i="1" s="1"/>
  <c r="B41" i="1"/>
  <c r="B42" i="1"/>
  <c r="B43" i="1"/>
  <c r="B44" i="1"/>
  <c r="J44" i="1" s="1"/>
  <c r="B45" i="1"/>
  <c r="J45" i="1" s="1"/>
  <c r="B46" i="1"/>
  <c r="I46" i="1" s="1"/>
  <c r="B47" i="1"/>
  <c r="J47" i="1" s="1"/>
  <c r="B48" i="1"/>
  <c r="I48" i="1" s="1"/>
  <c r="B49" i="1"/>
  <c r="B50" i="1"/>
  <c r="I50" i="1" s="1"/>
  <c r="B51" i="1"/>
  <c r="J51" i="1" s="1"/>
  <c r="B52" i="1"/>
  <c r="J52" i="1" s="1"/>
  <c r="B53" i="1"/>
  <c r="B54" i="1"/>
  <c r="B55" i="1"/>
  <c r="B56" i="1"/>
  <c r="J56" i="1" s="1"/>
  <c r="B57" i="1"/>
  <c r="B58" i="1"/>
  <c r="J58" i="1" s="1"/>
  <c r="B59" i="1"/>
  <c r="B60" i="1"/>
  <c r="I60" i="1" s="1"/>
  <c r="B61" i="1"/>
  <c r="J61" i="1" s="1"/>
  <c r="B62" i="1"/>
  <c r="J62" i="1" s="1"/>
  <c r="B63" i="1"/>
  <c r="J63" i="1" s="1"/>
  <c r="B64" i="1"/>
  <c r="B65" i="1"/>
  <c r="B66" i="1"/>
  <c r="B67" i="1"/>
  <c r="B68" i="1"/>
  <c r="I68" i="1" s="1"/>
  <c r="B69" i="1"/>
  <c r="J69" i="1" s="1"/>
  <c r="B70" i="1"/>
  <c r="J70" i="1" s="1"/>
  <c r="B71" i="1"/>
  <c r="B72" i="1"/>
  <c r="I72" i="1" s="1"/>
  <c r="B73" i="1"/>
  <c r="B74" i="1"/>
  <c r="I74" i="1" s="1"/>
  <c r="B75" i="1"/>
  <c r="J75" i="1" s="1"/>
  <c r="B76" i="1"/>
  <c r="J76" i="1" s="1"/>
  <c r="B77" i="1"/>
  <c r="B78" i="1"/>
  <c r="B79" i="1"/>
  <c r="B80" i="1"/>
  <c r="J80" i="1" s="1"/>
  <c r="B81" i="1"/>
  <c r="B82" i="1"/>
  <c r="J82" i="1" s="1"/>
  <c r="B83" i="1"/>
  <c r="B84" i="1"/>
  <c r="I84" i="1" s="1"/>
  <c r="B85" i="1"/>
  <c r="J85" i="1" s="1"/>
  <c r="B86" i="1"/>
  <c r="J86" i="1" s="1"/>
  <c r="B87" i="1"/>
  <c r="J87" i="1" s="1"/>
  <c r="B88" i="1"/>
  <c r="B89" i="1"/>
  <c r="B90" i="1"/>
  <c r="B91" i="1"/>
  <c r="B92" i="1"/>
  <c r="J92" i="1" s="1"/>
  <c r="B93" i="1"/>
  <c r="J93" i="1" s="1"/>
  <c r="B94" i="1"/>
  <c r="J94" i="1" s="1"/>
  <c r="B95" i="1"/>
  <c r="B96" i="1"/>
  <c r="I96" i="1" s="1"/>
  <c r="B97" i="1"/>
  <c r="B98" i="1"/>
  <c r="I98" i="1" s="1"/>
  <c r="B99" i="1"/>
  <c r="J99" i="1" s="1"/>
  <c r="B100" i="1"/>
  <c r="J100" i="1" s="1"/>
  <c r="B101" i="1"/>
  <c r="B102" i="1"/>
  <c r="B103" i="1"/>
  <c r="B104" i="1"/>
  <c r="J104" i="1" s="1"/>
  <c r="B105" i="1"/>
  <c r="B106" i="1"/>
  <c r="J106" i="1" s="1"/>
  <c r="B107" i="1"/>
  <c r="B108" i="1"/>
  <c r="I108" i="1" s="1"/>
  <c r="B109" i="1"/>
  <c r="J109" i="1" s="1"/>
  <c r="B110" i="1"/>
  <c r="I110" i="1" s="1"/>
  <c r="B111" i="1"/>
  <c r="J111" i="1" s="1"/>
  <c r="B112" i="1"/>
  <c r="B113" i="1"/>
  <c r="B114" i="1"/>
  <c r="B115" i="1"/>
  <c r="B116" i="1"/>
  <c r="J116" i="1" s="1"/>
  <c r="B117" i="1"/>
  <c r="J117" i="1" s="1"/>
  <c r="B118" i="1"/>
  <c r="J118" i="1" s="1"/>
  <c r="B119" i="1"/>
  <c r="B120" i="1"/>
  <c r="I120" i="1" s="1"/>
  <c r="B121" i="1"/>
  <c r="B122" i="1"/>
  <c r="I122" i="1" s="1"/>
  <c r="B123" i="1"/>
  <c r="J123" i="1" s="1"/>
  <c r="B124" i="1"/>
  <c r="J124" i="1" s="1"/>
  <c r="B125" i="1"/>
  <c r="B126" i="1"/>
  <c r="B127" i="1"/>
  <c r="B128" i="1"/>
  <c r="J128" i="1" s="1"/>
  <c r="B129" i="1"/>
  <c r="B130" i="1"/>
  <c r="J130" i="1" s="1"/>
  <c r="B131" i="1"/>
  <c r="B132" i="1"/>
  <c r="I132" i="1" s="1"/>
  <c r="B133" i="1"/>
  <c r="J133" i="1" s="1"/>
  <c r="B134" i="1"/>
  <c r="J134" i="1" s="1"/>
  <c r="B135" i="1"/>
  <c r="J135" i="1" s="1"/>
  <c r="B136" i="1"/>
  <c r="B137" i="1"/>
  <c r="B138" i="1"/>
  <c r="B139" i="1"/>
  <c r="B140" i="1"/>
  <c r="J140" i="1" s="1"/>
  <c r="B141" i="1"/>
  <c r="J141" i="1" s="1"/>
  <c r="B142" i="1"/>
  <c r="J142" i="1" s="1"/>
  <c r="B143" i="1"/>
  <c r="B144" i="1"/>
  <c r="I144" i="1" s="1"/>
  <c r="B145" i="1"/>
  <c r="B146" i="1"/>
  <c r="I146" i="1" s="1"/>
  <c r="B147" i="1"/>
  <c r="J147" i="1" s="1"/>
  <c r="B148" i="1"/>
  <c r="J148" i="1" s="1"/>
  <c r="B149" i="1"/>
  <c r="B150" i="1"/>
  <c r="B151" i="1"/>
  <c r="B152" i="1"/>
  <c r="J152" i="1" s="1"/>
  <c r="B153" i="1"/>
  <c r="B154" i="1"/>
  <c r="J154" i="1" s="1"/>
  <c r="B155" i="1"/>
  <c r="B156" i="1"/>
  <c r="I156" i="1" s="1"/>
  <c r="B157" i="1"/>
  <c r="J157" i="1" s="1"/>
  <c r="B158" i="1"/>
  <c r="J158" i="1" s="1"/>
  <c r="B159" i="1"/>
  <c r="J159" i="1" s="1"/>
  <c r="B160" i="1"/>
  <c r="B161" i="1"/>
  <c r="B162" i="1"/>
  <c r="B163" i="1"/>
  <c r="B164" i="1"/>
  <c r="I164" i="1" s="1"/>
  <c r="B165" i="1"/>
  <c r="J165" i="1" s="1"/>
  <c r="B166" i="1"/>
  <c r="J166" i="1" s="1"/>
  <c r="B167" i="1"/>
  <c r="B168" i="1"/>
  <c r="I168" i="1" s="1"/>
  <c r="B169" i="1"/>
  <c r="B170" i="1"/>
  <c r="I170" i="1" s="1"/>
  <c r="B171" i="1"/>
  <c r="J171" i="1" s="1"/>
  <c r="B172" i="1"/>
  <c r="J172" i="1" s="1"/>
  <c r="B173" i="1"/>
  <c r="B174" i="1"/>
  <c r="B175" i="1"/>
  <c r="B176" i="1"/>
  <c r="J176" i="1" s="1"/>
  <c r="B177" i="1"/>
  <c r="B178" i="1"/>
  <c r="J178" i="1" s="1"/>
  <c r="B179" i="1"/>
  <c r="B180" i="1"/>
  <c r="I180" i="1" s="1"/>
  <c r="B181" i="1"/>
  <c r="J181" i="1" s="1"/>
  <c r="B182" i="1"/>
  <c r="J182" i="1" s="1"/>
  <c r="B183" i="1"/>
  <c r="J183" i="1" s="1"/>
  <c r="B184" i="1"/>
  <c r="B185" i="1"/>
  <c r="B186" i="1"/>
  <c r="B2" i="1"/>
  <c r="J110" i="1" l="1"/>
  <c r="J122" i="1"/>
  <c r="I133" i="1"/>
  <c r="I142" i="1"/>
  <c r="I154" i="1"/>
  <c r="J164" i="1"/>
  <c r="I175" i="1"/>
  <c r="J73" i="1"/>
  <c r="I73" i="1"/>
  <c r="J2" i="1"/>
  <c r="J1" i="1" s="1"/>
  <c r="J19" i="1"/>
  <c r="I29" i="1"/>
  <c r="J38" i="1"/>
  <c r="I47" i="1"/>
  <c r="I69" i="1"/>
  <c r="J79" i="1"/>
  <c r="J91" i="1"/>
  <c r="I111" i="1"/>
  <c r="I123" i="1"/>
  <c r="I165" i="1"/>
  <c r="I3" i="1"/>
  <c r="I1" i="1" s="1"/>
  <c r="I11" i="1"/>
  <c r="I20" i="1"/>
  <c r="I39" i="1"/>
  <c r="J48" i="1"/>
  <c r="J60" i="1"/>
  <c r="I80" i="1"/>
  <c r="I92" i="1"/>
  <c r="I134" i="1"/>
  <c r="J144" i="1"/>
  <c r="J156" i="1"/>
  <c r="I176" i="1"/>
  <c r="J12" i="1"/>
  <c r="J21" i="1"/>
  <c r="I31" i="1"/>
  <c r="J50" i="1"/>
  <c r="I61" i="1"/>
  <c r="I70" i="1"/>
  <c r="I82" i="1"/>
  <c r="I103" i="1"/>
  <c r="I115" i="1"/>
  <c r="I124" i="1"/>
  <c r="J146" i="1"/>
  <c r="I157" i="1"/>
  <c r="I166" i="1"/>
  <c r="I178" i="1"/>
  <c r="J169" i="1"/>
  <c r="I169" i="1"/>
  <c r="J121" i="1"/>
  <c r="I121" i="1"/>
  <c r="J49" i="1"/>
  <c r="I49" i="1"/>
  <c r="J179" i="1"/>
  <c r="I179" i="1"/>
  <c r="J167" i="1"/>
  <c r="I167" i="1"/>
  <c r="J155" i="1"/>
  <c r="I155" i="1"/>
  <c r="J143" i="1"/>
  <c r="I143" i="1"/>
  <c r="J131" i="1"/>
  <c r="I131" i="1"/>
  <c r="J119" i="1"/>
  <c r="I119" i="1"/>
  <c r="J107" i="1"/>
  <c r="I107" i="1"/>
  <c r="J95" i="1"/>
  <c r="I95" i="1"/>
  <c r="J83" i="1"/>
  <c r="I83" i="1"/>
  <c r="J71" i="1"/>
  <c r="I71" i="1"/>
  <c r="J59" i="1"/>
  <c r="I59" i="1"/>
  <c r="J35" i="1"/>
  <c r="I35" i="1"/>
  <c r="J34" i="1"/>
  <c r="I34" i="1"/>
  <c r="I4" i="1"/>
  <c r="I13" i="1"/>
  <c r="I22" i="1"/>
  <c r="I40" i="1"/>
  <c r="I51" i="1"/>
  <c r="I93" i="1"/>
  <c r="I135" i="1"/>
  <c r="I147" i="1"/>
  <c r="J177" i="1"/>
  <c r="I177" i="1"/>
  <c r="J153" i="1"/>
  <c r="I153" i="1"/>
  <c r="J129" i="1"/>
  <c r="I129" i="1"/>
  <c r="J14" i="1"/>
  <c r="I32" i="1"/>
  <c r="I62" i="1"/>
  <c r="J72" i="1"/>
  <c r="J84" i="1"/>
  <c r="I104" i="1"/>
  <c r="I116" i="1"/>
  <c r="I158" i="1"/>
  <c r="J168" i="1"/>
  <c r="J180" i="1"/>
  <c r="I15" i="1"/>
  <c r="I23" i="1"/>
  <c r="J43" i="1"/>
  <c r="I52" i="1"/>
  <c r="J74" i="1"/>
  <c r="I85" i="1"/>
  <c r="I94" i="1"/>
  <c r="I106" i="1"/>
  <c r="I127" i="1"/>
  <c r="I139" i="1"/>
  <c r="I148" i="1"/>
  <c r="J170" i="1"/>
  <c r="I181" i="1"/>
  <c r="J145" i="1"/>
  <c r="I145" i="1"/>
  <c r="J97" i="1"/>
  <c r="I97" i="1"/>
  <c r="J105" i="1"/>
  <c r="I105" i="1"/>
  <c r="J81" i="1"/>
  <c r="I81" i="1"/>
  <c r="J57" i="1"/>
  <c r="I57" i="1"/>
  <c r="I5" i="1"/>
  <c r="J7" i="1"/>
  <c r="J24" i="1"/>
  <c r="I33" i="1"/>
  <c r="I44" i="1"/>
  <c r="I63" i="1"/>
  <c r="I75" i="1"/>
  <c r="I117" i="1"/>
  <c r="I159" i="1"/>
  <c r="I171" i="1"/>
  <c r="I25" i="1"/>
  <c r="I86" i="1"/>
  <c r="J96" i="1"/>
  <c r="J108" i="1"/>
  <c r="I128" i="1"/>
  <c r="I140" i="1"/>
  <c r="I182" i="1"/>
  <c r="J98" i="1"/>
  <c r="I109" i="1"/>
  <c r="I118" i="1"/>
  <c r="I130" i="1"/>
  <c r="I151" i="1"/>
  <c r="I163" i="1"/>
  <c r="J185" i="1"/>
  <c r="I185" i="1"/>
  <c r="J173" i="1"/>
  <c r="I173" i="1"/>
  <c r="J161" i="1"/>
  <c r="I161" i="1"/>
  <c r="J149" i="1"/>
  <c r="I149" i="1"/>
  <c r="J137" i="1"/>
  <c r="I137" i="1"/>
  <c r="J125" i="1"/>
  <c r="I125" i="1"/>
  <c r="J113" i="1"/>
  <c r="I113" i="1"/>
  <c r="J101" i="1"/>
  <c r="I101" i="1"/>
  <c r="J89" i="1"/>
  <c r="I89" i="1"/>
  <c r="J77" i="1"/>
  <c r="I77" i="1"/>
  <c r="J65" i="1"/>
  <c r="I65" i="1"/>
  <c r="J53" i="1"/>
  <c r="I53" i="1"/>
  <c r="J41" i="1"/>
  <c r="I41" i="1"/>
  <c r="J36" i="1"/>
  <c r="I45" i="1"/>
  <c r="I55" i="1"/>
  <c r="I67" i="1"/>
  <c r="J184" i="1"/>
  <c r="I184" i="1"/>
  <c r="J160" i="1"/>
  <c r="I160" i="1"/>
  <c r="J136" i="1"/>
  <c r="I136" i="1"/>
  <c r="J112" i="1"/>
  <c r="I112" i="1"/>
  <c r="J88" i="1"/>
  <c r="I88" i="1"/>
  <c r="J64" i="1"/>
  <c r="I64" i="1"/>
  <c r="I9" i="1"/>
  <c r="I17" i="1"/>
  <c r="I26" i="1"/>
  <c r="I37" i="1"/>
  <c r="I87" i="1"/>
  <c r="I99" i="1"/>
  <c r="I141" i="1"/>
  <c r="I183" i="1"/>
  <c r="J27" i="1"/>
  <c r="I27" i="1"/>
  <c r="I56" i="1"/>
  <c r="J120" i="1"/>
  <c r="J132" i="1"/>
  <c r="I152" i="1"/>
  <c r="I186" i="1"/>
  <c r="I174" i="1"/>
  <c r="I162" i="1"/>
  <c r="I150" i="1"/>
  <c r="I138" i="1"/>
  <c r="I126" i="1"/>
  <c r="I114" i="1"/>
  <c r="I102" i="1"/>
  <c r="I90" i="1"/>
  <c r="I78" i="1"/>
  <c r="I66" i="1"/>
  <c r="I54" i="1"/>
  <c r="I42" i="1"/>
  <c r="I30" i="1"/>
  <c r="I18" i="1"/>
  <c r="I6" i="1"/>
</calcChain>
</file>

<file path=xl/sharedStrings.xml><?xml version="1.0" encoding="utf-8"?>
<sst xmlns="http://schemas.openxmlformats.org/spreadsheetml/2006/main" count="192" uniqueCount="7">
  <si>
    <t>入院日</t>
  </si>
  <si>
    <t>登録日</t>
  </si>
  <si>
    <t>病棟名称</t>
  </si>
  <si>
    <t>患者年齢</t>
  </si>
  <si>
    <t>５Ｆ病棟</t>
  </si>
  <si>
    <t>６Ｆ病棟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</si>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</sst>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topLeftCell="B1" workbookViewId="0">
      <selection sqref="A1:B1048576"/>
    </sheetView>
  </sheetViews>
  <sheetFormatPr defaultRowHeight="13.5" x14ac:dyDescent="0.15"/>
  <cols>
    <col min="1" max="1" width="11.75" hidden="1" customWidth="1"/>
    <col min="2" max="2" width="17.875" customWidth="1"/>
    <col min="3" max="3" width="30.125" hidden="1" customWidth="1"/>
    <col min="4" max="4" width="11.7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当日：99件</v>
      </c>
      <c r="J1" s="2" t="str">
        <f>"予定："&amp;COUNTIF(J2:J300,"○")&amp;"件"</f>
        <v>予定：86件</v>
      </c>
    </row>
    <row r="2" spans="1:10" x14ac:dyDescent="0.15">
      <c r="A2" s="5">
        <v>20250801083500</v>
      </c>
      <c r="B2" s="5" t="str">
        <f>MID(A2,1,8)</f>
        <v>20250801</v>
      </c>
      <c r="C2" s="5">
        <v>20250801083408</v>
      </c>
      <c r="D2" s="5" t="str">
        <f>MID(C2,1,8)</f>
        <v>20250801</v>
      </c>
      <c r="E2" s="6" t="s">
        <v>4</v>
      </c>
      <c r="F2" s="5">
        <v>630027</v>
      </c>
      <c r="G2" s="7" t="str">
        <f>MID(F2,1,2)&amp;"歳"&amp;MID(F2,3,2)&amp;"ヶ月"&amp;MID(F2,5,2)&amp;"日"</f>
        <v>63歳00ヶ月27日</v>
      </c>
      <c r="I2" s="3" t="str">
        <f t="shared" ref="I2:I65" si="0">IF(B2=D2,"○","")</f>
        <v>○</v>
      </c>
      <c r="J2" s="4" t="str">
        <f t="shared" ref="J2:J65" si="1">IF(B2&lt;&gt;D2,"○","")</f>
        <v/>
      </c>
    </row>
    <row r="3" spans="1:10" x14ac:dyDescent="0.15">
      <c r="A3" s="5">
        <v>20250801093800</v>
      </c>
      <c r="B3" s="5" t="str">
        <f t="shared" ref="B3:B66" si="2">MID(A3,1,8)</f>
        <v>20250801</v>
      </c>
      <c r="C3" s="5">
        <v>20250705113649</v>
      </c>
      <c r="D3" s="5" t="str">
        <f t="shared" ref="D3:D66" si="3">MID(C3,1,8)</f>
        <v>20250705</v>
      </c>
      <c r="E3" s="6" t="s">
        <v>4</v>
      </c>
      <c r="F3" s="5">
        <v>730027</v>
      </c>
      <c r="G3" s="7" t="str">
        <f t="shared" ref="G3:G66" si="4">MID(F3,1,2)&amp;"歳"&amp;MID(F3,3,2)&amp;"ヶ月"&amp;MID(F3,5,2)&amp;"日"</f>
        <v>73歳00ヶ月27日</v>
      </c>
      <c r="I3" s="3" t="str">
        <f t="shared" si="0"/>
        <v/>
      </c>
      <c r="J3" s="4" t="str">
        <f t="shared" si="1"/>
        <v>○</v>
      </c>
    </row>
    <row r="4" spans="1:10" x14ac:dyDescent="0.15">
      <c r="A4" s="5">
        <v>20250801104400</v>
      </c>
      <c r="B4" s="5" t="str">
        <f t="shared" si="2"/>
        <v>20250801</v>
      </c>
      <c r="C4" s="5">
        <v>20250731175846</v>
      </c>
      <c r="D4" s="5" t="str">
        <f t="shared" si="3"/>
        <v>20250731</v>
      </c>
      <c r="E4" s="6" t="s">
        <v>5</v>
      </c>
      <c r="F4" s="5">
        <v>990620</v>
      </c>
      <c r="G4" s="7" t="str">
        <f t="shared" si="4"/>
        <v>99歳06ヶ月20日</v>
      </c>
      <c r="I4" s="3" t="str">
        <f t="shared" si="0"/>
        <v/>
      </c>
      <c r="J4" s="4" t="str">
        <f t="shared" si="1"/>
        <v>○</v>
      </c>
    </row>
    <row r="5" spans="1:10" x14ac:dyDescent="0.15">
      <c r="A5" s="5">
        <v>20250801110900</v>
      </c>
      <c r="B5" s="5" t="str">
        <f t="shared" si="2"/>
        <v>20250801</v>
      </c>
      <c r="C5" s="5">
        <v>20250801094030</v>
      </c>
      <c r="D5" s="5" t="str">
        <f t="shared" si="3"/>
        <v>20250801</v>
      </c>
      <c r="E5" s="6" t="s">
        <v>4</v>
      </c>
      <c r="F5" s="5">
        <v>600710</v>
      </c>
      <c r="G5" s="7" t="str">
        <f t="shared" si="4"/>
        <v>60歳07ヶ月10日</v>
      </c>
      <c r="I5" s="3" t="str">
        <f t="shared" si="0"/>
        <v>○</v>
      </c>
      <c r="J5" s="4" t="str">
        <f t="shared" si="1"/>
        <v/>
      </c>
    </row>
    <row r="6" spans="1:10" x14ac:dyDescent="0.15">
      <c r="A6" s="5">
        <v>20250801134000</v>
      </c>
      <c r="B6" s="5" t="str">
        <f t="shared" si="2"/>
        <v>20250801</v>
      </c>
      <c r="C6" s="5">
        <v>20250801131925</v>
      </c>
      <c r="D6" s="5" t="str">
        <f t="shared" si="3"/>
        <v>20250801</v>
      </c>
      <c r="E6" s="6" t="s">
        <v>4</v>
      </c>
      <c r="F6" s="5">
        <v>740715</v>
      </c>
      <c r="G6" s="7" t="str">
        <f t="shared" si="4"/>
        <v>74歳07ヶ月15日</v>
      </c>
      <c r="I6" s="3" t="str">
        <f t="shared" si="0"/>
        <v>○</v>
      </c>
      <c r="J6" s="4" t="str">
        <f t="shared" si="1"/>
        <v/>
      </c>
    </row>
    <row r="7" spans="1:10" x14ac:dyDescent="0.15">
      <c r="A7" s="5">
        <v>20250801140300</v>
      </c>
      <c r="B7" s="5" t="str">
        <f t="shared" si="2"/>
        <v>20250801</v>
      </c>
      <c r="C7" s="5">
        <v>20250801115545</v>
      </c>
      <c r="D7" s="5" t="str">
        <f t="shared" si="3"/>
        <v>20250801</v>
      </c>
      <c r="E7" s="6" t="s">
        <v>4</v>
      </c>
      <c r="F7" s="5">
        <v>731005</v>
      </c>
      <c r="G7" s="7" t="str">
        <f t="shared" si="4"/>
        <v>73歳10ヶ月05日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20250801144200</v>
      </c>
      <c r="B8" s="5" t="str">
        <f t="shared" si="2"/>
        <v>20250801</v>
      </c>
      <c r="C8" s="5">
        <v>20250628105043</v>
      </c>
      <c r="D8" s="5" t="str">
        <f t="shared" si="3"/>
        <v>20250628</v>
      </c>
      <c r="E8" s="6" t="s">
        <v>5</v>
      </c>
      <c r="F8" s="5">
        <v>610917</v>
      </c>
      <c r="G8" s="7" t="str">
        <f t="shared" si="4"/>
        <v>61歳09ヶ月17日</v>
      </c>
      <c r="I8" s="3" t="str">
        <f t="shared" si="0"/>
        <v/>
      </c>
      <c r="J8" s="4" t="str">
        <f t="shared" si="1"/>
        <v>○</v>
      </c>
    </row>
    <row r="9" spans="1:10" x14ac:dyDescent="0.15">
      <c r="A9" s="5">
        <v>20250801155600</v>
      </c>
      <c r="B9" s="5" t="str">
        <f t="shared" si="2"/>
        <v>20250801</v>
      </c>
      <c r="C9" s="5">
        <v>20250801150453</v>
      </c>
      <c r="D9" s="5" t="str">
        <f t="shared" si="3"/>
        <v>20250801</v>
      </c>
      <c r="E9" s="6" t="s">
        <v>5</v>
      </c>
      <c r="F9" s="5">
        <v>890322</v>
      </c>
      <c r="G9" s="7" t="str">
        <f t="shared" si="4"/>
        <v>89歳03ヶ月22日</v>
      </c>
      <c r="I9" s="3" t="str">
        <f t="shared" si="0"/>
        <v>○</v>
      </c>
      <c r="J9" s="4" t="str">
        <f t="shared" si="1"/>
        <v/>
      </c>
    </row>
    <row r="10" spans="1:10" x14ac:dyDescent="0.15">
      <c r="A10" s="5">
        <v>20250802091200</v>
      </c>
      <c r="B10" s="5" t="str">
        <f t="shared" si="2"/>
        <v>20250802</v>
      </c>
      <c r="C10" s="5">
        <v>20250728115124</v>
      </c>
      <c r="D10" s="5" t="str">
        <f t="shared" si="3"/>
        <v>20250728</v>
      </c>
      <c r="E10" s="6" t="s">
        <v>4</v>
      </c>
      <c r="F10" s="5">
        <v>840700</v>
      </c>
      <c r="G10" s="7" t="str">
        <f t="shared" si="4"/>
        <v>84歳07ヶ月00日</v>
      </c>
      <c r="I10" s="3" t="str">
        <f t="shared" si="0"/>
        <v/>
      </c>
      <c r="J10" s="4" t="str">
        <f t="shared" si="1"/>
        <v>○</v>
      </c>
    </row>
    <row r="11" spans="1:10" x14ac:dyDescent="0.15">
      <c r="A11" s="5">
        <v>20250802095900</v>
      </c>
      <c r="B11" s="5" t="str">
        <f t="shared" si="2"/>
        <v>20250802</v>
      </c>
      <c r="C11" s="5">
        <v>20250802082410</v>
      </c>
      <c r="D11" s="5" t="str">
        <f t="shared" si="3"/>
        <v>20250802</v>
      </c>
      <c r="E11" s="6" t="s">
        <v>5</v>
      </c>
      <c r="F11" s="5">
        <v>910706</v>
      </c>
      <c r="G11" s="7" t="str">
        <f t="shared" si="4"/>
        <v>91歳07ヶ月06日</v>
      </c>
      <c r="I11" s="3" t="str">
        <f t="shared" si="0"/>
        <v>○</v>
      </c>
      <c r="J11" s="4" t="str">
        <f t="shared" si="1"/>
        <v/>
      </c>
    </row>
    <row r="12" spans="1:10" x14ac:dyDescent="0.15">
      <c r="A12" s="5">
        <v>20250802111100</v>
      </c>
      <c r="B12" s="5" t="str">
        <f t="shared" si="2"/>
        <v>20250802</v>
      </c>
      <c r="C12" s="5">
        <v>20250802103827</v>
      </c>
      <c r="D12" s="5" t="str">
        <f t="shared" si="3"/>
        <v>20250802</v>
      </c>
      <c r="E12" s="6" t="s">
        <v>4</v>
      </c>
      <c r="F12" s="5">
        <v>890913</v>
      </c>
      <c r="G12" s="7" t="str">
        <f t="shared" si="4"/>
        <v>89歳09ヶ月13日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20250802122100</v>
      </c>
      <c r="B13" s="5" t="str">
        <f t="shared" si="2"/>
        <v>20250802</v>
      </c>
      <c r="C13" s="5">
        <v>20250802120803</v>
      </c>
      <c r="D13" s="5" t="str">
        <f t="shared" si="3"/>
        <v>20250802</v>
      </c>
      <c r="E13" s="6" t="s">
        <v>4</v>
      </c>
      <c r="F13" s="5">
        <v>770105</v>
      </c>
      <c r="G13" s="7" t="str">
        <f t="shared" si="4"/>
        <v>77歳01ヶ月05日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20250802122100</v>
      </c>
      <c r="B14" s="5" t="str">
        <f t="shared" si="2"/>
        <v>20250802</v>
      </c>
      <c r="C14" s="5">
        <v>20250814151630</v>
      </c>
      <c r="D14" s="5" t="str">
        <f t="shared" si="3"/>
        <v>20250814</v>
      </c>
      <c r="E14" s="6" t="s">
        <v>4</v>
      </c>
      <c r="F14" s="5">
        <v>770105</v>
      </c>
      <c r="G14" s="7" t="str">
        <f t="shared" si="4"/>
        <v>77歳01ヶ月05日</v>
      </c>
      <c r="I14" s="3" t="str">
        <f t="shared" si="0"/>
        <v/>
      </c>
      <c r="J14" s="4" t="str">
        <f t="shared" si="1"/>
        <v>○</v>
      </c>
    </row>
    <row r="15" spans="1:10" x14ac:dyDescent="0.15">
      <c r="A15" s="5">
        <v>20250802170300</v>
      </c>
      <c r="B15" s="5" t="str">
        <f t="shared" si="2"/>
        <v>20250802</v>
      </c>
      <c r="C15" s="5">
        <v>20250802151459</v>
      </c>
      <c r="D15" s="5" t="str">
        <f t="shared" si="3"/>
        <v>20250802</v>
      </c>
      <c r="E15" s="6" t="s">
        <v>5</v>
      </c>
      <c r="F15" s="5">
        <v>680600</v>
      </c>
      <c r="G15" s="7" t="str">
        <f t="shared" si="4"/>
        <v>68歳06ヶ月00日</v>
      </c>
      <c r="I15" s="3" t="str">
        <f t="shared" si="0"/>
        <v>○</v>
      </c>
      <c r="J15" s="4" t="str">
        <f t="shared" si="1"/>
        <v/>
      </c>
    </row>
    <row r="16" spans="1:10" x14ac:dyDescent="0.15">
      <c r="A16" s="5">
        <v>20250804075500</v>
      </c>
      <c r="B16" s="5" t="str">
        <f t="shared" si="2"/>
        <v>20250804</v>
      </c>
      <c r="C16" s="5">
        <v>20250804074916</v>
      </c>
      <c r="D16" s="5" t="str">
        <f t="shared" si="3"/>
        <v>20250804</v>
      </c>
      <c r="E16" s="6" t="s">
        <v>5</v>
      </c>
      <c r="F16" s="5">
        <v>720628</v>
      </c>
      <c r="G16" s="7" t="str">
        <f t="shared" si="4"/>
        <v>72歳06ヶ月28日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20250804094200</v>
      </c>
      <c r="B17" s="5" t="str">
        <f t="shared" si="2"/>
        <v>20250804</v>
      </c>
      <c r="C17" s="5">
        <v>20250729123311</v>
      </c>
      <c r="D17" s="5" t="str">
        <f t="shared" si="3"/>
        <v>20250729</v>
      </c>
      <c r="E17" s="6" t="s">
        <v>5</v>
      </c>
      <c r="F17" s="5">
        <v>810901</v>
      </c>
      <c r="G17" s="7" t="str">
        <f t="shared" si="4"/>
        <v>81歳09ヶ月01日</v>
      </c>
      <c r="I17" s="3" t="str">
        <f t="shared" si="0"/>
        <v/>
      </c>
      <c r="J17" s="4" t="str">
        <f t="shared" si="1"/>
        <v>○</v>
      </c>
    </row>
    <row r="18" spans="1:10" x14ac:dyDescent="0.15">
      <c r="A18" s="5">
        <v>20250804095900</v>
      </c>
      <c r="B18" s="5" t="str">
        <f t="shared" si="2"/>
        <v>20250804</v>
      </c>
      <c r="C18" s="5">
        <v>20250801182201</v>
      </c>
      <c r="D18" s="5" t="str">
        <f t="shared" si="3"/>
        <v>20250801</v>
      </c>
      <c r="E18" s="6" t="s">
        <v>5</v>
      </c>
      <c r="F18" s="5">
        <v>940524</v>
      </c>
      <c r="G18" s="7" t="str">
        <f t="shared" si="4"/>
        <v>94歳05ヶ月24日</v>
      </c>
      <c r="I18" s="3" t="str">
        <f t="shared" si="0"/>
        <v/>
      </c>
      <c r="J18" s="4" t="str">
        <f t="shared" si="1"/>
        <v>○</v>
      </c>
    </row>
    <row r="19" spans="1:10" x14ac:dyDescent="0.15">
      <c r="A19" s="5">
        <v>20250804100700</v>
      </c>
      <c r="B19" s="5" t="str">
        <f t="shared" si="2"/>
        <v>20250804</v>
      </c>
      <c r="C19" s="5">
        <v>20250724151214</v>
      </c>
      <c r="D19" s="5" t="str">
        <f t="shared" si="3"/>
        <v>20250724</v>
      </c>
      <c r="E19" s="6" t="s">
        <v>5</v>
      </c>
      <c r="F19" s="5">
        <v>680920</v>
      </c>
      <c r="G19" s="7" t="str">
        <f t="shared" si="4"/>
        <v>68歳09ヶ月20日</v>
      </c>
      <c r="I19" s="3" t="str">
        <f t="shared" si="0"/>
        <v/>
      </c>
      <c r="J19" s="4" t="str">
        <f t="shared" si="1"/>
        <v>○</v>
      </c>
    </row>
    <row r="20" spans="1:10" x14ac:dyDescent="0.15">
      <c r="A20" s="5">
        <v>20250804102200</v>
      </c>
      <c r="B20" s="5" t="str">
        <f t="shared" si="2"/>
        <v>20250804</v>
      </c>
      <c r="C20" s="5">
        <v>20250802113252</v>
      </c>
      <c r="D20" s="5" t="str">
        <f t="shared" si="3"/>
        <v>20250802</v>
      </c>
      <c r="E20" s="6" t="s">
        <v>5</v>
      </c>
      <c r="F20" s="5">
        <v>771025</v>
      </c>
      <c r="G20" s="7" t="str">
        <f t="shared" si="4"/>
        <v>77歳10ヶ月25日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20250804102900</v>
      </c>
      <c r="B21" s="5" t="str">
        <f t="shared" si="2"/>
        <v>20250804</v>
      </c>
      <c r="C21" s="5">
        <v>20250717102554</v>
      </c>
      <c r="D21" s="5" t="str">
        <f t="shared" si="3"/>
        <v>20250717</v>
      </c>
      <c r="E21" s="6" t="s">
        <v>4</v>
      </c>
      <c r="F21" s="5">
        <v>700627</v>
      </c>
      <c r="G21" s="7" t="str">
        <f t="shared" si="4"/>
        <v>70歳06ヶ月27日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20250804113200</v>
      </c>
      <c r="B22" s="5" t="str">
        <f t="shared" si="2"/>
        <v>20250804</v>
      </c>
      <c r="C22" s="5">
        <v>20250804103630</v>
      </c>
      <c r="D22" s="5" t="str">
        <f t="shared" si="3"/>
        <v>20250804</v>
      </c>
      <c r="E22" s="6" t="s">
        <v>4</v>
      </c>
      <c r="F22" s="5">
        <v>570318</v>
      </c>
      <c r="G22" s="7" t="str">
        <f t="shared" si="4"/>
        <v>57歳03ヶ月18日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20250804133100</v>
      </c>
      <c r="B23" s="5" t="str">
        <f t="shared" si="2"/>
        <v>20250804</v>
      </c>
      <c r="C23" s="5">
        <v>20250804123335</v>
      </c>
      <c r="D23" s="5" t="str">
        <f t="shared" si="3"/>
        <v>20250804</v>
      </c>
      <c r="E23" s="6" t="s">
        <v>5</v>
      </c>
      <c r="F23" s="5">
        <v>790111</v>
      </c>
      <c r="G23" s="7" t="str">
        <f t="shared" si="4"/>
        <v>79歳01ヶ月11日</v>
      </c>
      <c r="I23" s="3" t="str">
        <f t="shared" si="0"/>
        <v>○</v>
      </c>
      <c r="J23" s="4" t="str">
        <f t="shared" si="1"/>
        <v/>
      </c>
    </row>
    <row r="24" spans="1:10" x14ac:dyDescent="0.15">
      <c r="A24" s="5">
        <v>20250804133400</v>
      </c>
      <c r="B24" s="5" t="str">
        <f t="shared" si="2"/>
        <v>20250804</v>
      </c>
      <c r="C24" s="5">
        <v>20250804124622</v>
      </c>
      <c r="D24" s="5" t="str">
        <f t="shared" si="3"/>
        <v>20250804</v>
      </c>
      <c r="E24" s="6" t="s">
        <v>4</v>
      </c>
      <c r="F24" s="5">
        <v>890101</v>
      </c>
      <c r="G24" s="7" t="str">
        <f t="shared" si="4"/>
        <v>89歳01ヶ月01日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20250804163400</v>
      </c>
      <c r="B25" s="5" t="str">
        <f t="shared" si="2"/>
        <v>20250804</v>
      </c>
      <c r="C25" s="5">
        <v>20250723154025</v>
      </c>
      <c r="D25" s="5" t="str">
        <f t="shared" si="3"/>
        <v>20250723</v>
      </c>
      <c r="E25" s="6" t="s">
        <v>4</v>
      </c>
      <c r="F25" s="5">
        <v>740910</v>
      </c>
      <c r="G25" s="7" t="str">
        <f t="shared" si="4"/>
        <v>74歳09ヶ月10日</v>
      </c>
      <c r="I25" s="3" t="str">
        <f t="shared" si="0"/>
        <v/>
      </c>
      <c r="J25" s="4" t="str">
        <f t="shared" si="1"/>
        <v>○</v>
      </c>
    </row>
    <row r="26" spans="1:10" x14ac:dyDescent="0.15">
      <c r="A26" s="5">
        <v>20250805093700</v>
      </c>
      <c r="B26" s="5" t="str">
        <f t="shared" si="2"/>
        <v>20250805</v>
      </c>
      <c r="C26" s="5">
        <v>20250804101704</v>
      </c>
      <c r="D26" s="5" t="str">
        <f t="shared" si="3"/>
        <v>20250804</v>
      </c>
      <c r="E26" s="6" t="s">
        <v>4</v>
      </c>
      <c r="F26" s="5">
        <v>700812</v>
      </c>
      <c r="G26" s="7" t="str">
        <f t="shared" si="4"/>
        <v>70歳08ヶ月12日</v>
      </c>
      <c r="I26" s="3" t="str">
        <f t="shared" si="0"/>
        <v/>
      </c>
      <c r="J26" s="4" t="str">
        <f t="shared" si="1"/>
        <v>○</v>
      </c>
    </row>
    <row r="27" spans="1:10" x14ac:dyDescent="0.15">
      <c r="A27" s="5">
        <v>20250805100200</v>
      </c>
      <c r="B27" s="5" t="str">
        <f t="shared" si="2"/>
        <v>20250805</v>
      </c>
      <c r="C27" s="5">
        <v>20250605094049</v>
      </c>
      <c r="D27" s="5" t="str">
        <f t="shared" si="3"/>
        <v>20250605</v>
      </c>
      <c r="E27" s="6" t="s">
        <v>4</v>
      </c>
      <c r="F27" s="5">
        <v>620121</v>
      </c>
      <c r="G27" s="7" t="str">
        <f t="shared" si="4"/>
        <v>62歳01ヶ月21日</v>
      </c>
      <c r="I27" s="3" t="str">
        <f t="shared" si="0"/>
        <v/>
      </c>
      <c r="J27" s="4" t="str">
        <f t="shared" si="1"/>
        <v>○</v>
      </c>
    </row>
    <row r="28" spans="1:10" x14ac:dyDescent="0.15">
      <c r="A28" s="5">
        <v>20250805103900</v>
      </c>
      <c r="B28" s="5" t="str">
        <f t="shared" si="2"/>
        <v>20250805</v>
      </c>
      <c r="C28" s="5">
        <v>20250804103729</v>
      </c>
      <c r="D28" s="5" t="str">
        <f t="shared" si="3"/>
        <v>20250804</v>
      </c>
      <c r="E28" s="6" t="s">
        <v>4</v>
      </c>
      <c r="F28" s="5">
        <v>951008</v>
      </c>
      <c r="G28" s="7" t="str">
        <f t="shared" si="4"/>
        <v>95歳10ヶ月08日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20250805120600</v>
      </c>
      <c r="B29" s="5" t="str">
        <f t="shared" si="2"/>
        <v>20250805</v>
      </c>
      <c r="C29" s="5">
        <v>20250805115310</v>
      </c>
      <c r="D29" s="5" t="str">
        <f t="shared" si="3"/>
        <v>20250805</v>
      </c>
      <c r="E29" s="6" t="s">
        <v>4</v>
      </c>
      <c r="F29" s="5">
        <v>741108</v>
      </c>
      <c r="G29" s="7" t="str">
        <f t="shared" si="4"/>
        <v>74歳11ヶ月08日</v>
      </c>
      <c r="I29" s="3" t="str">
        <f t="shared" si="0"/>
        <v>○</v>
      </c>
      <c r="J29" s="4" t="str">
        <f t="shared" si="1"/>
        <v/>
      </c>
    </row>
    <row r="30" spans="1:10" x14ac:dyDescent="0.15">
      <c r="A30" s="5">
        <v>20250805120600</v>
      </c>
      <c r="B30" s="5" t="str">
        <f t="shared" si="2"/>
        <v>20250805</v>
      </c>
      <c r="C30" s="5">
        <v>20250827103352</v>
      </c>
      <c r="D30" s="5" t="str">
        <f t="shared" si="3"/>
        <v>20250827</v>
      </c>
      <c r="E30" s="6" t="s">
        <v>4</v>
      </c>
      <c r="F30" s="5">
        <v>741108</v>
      </c>
      <c r="G30" s="7" t="str">
        <f t="shared" si="4"/>
        <v>74歳11ヶ月08日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20250805151300</v>
      </c>
      <c r="B31" s="5" t="str">
        <f t="shared" si="2"/>
        <v>20250805</v>
      </c>
      <c r="C31" s="5">
        <v>20250717124856</v>
      </c>
      <c r="D31" s="5" t="str">
        <f t="shared" si="3"/>
        <v>20250717</v>
      </c>
      <c r="E31" s="6" t="s">
        <v>4</v>
      </c>
      <c r="F31" s="5">
        <v>810414</v>
      </c>
      <c r="G31" s="7" t="str">
        <f t="shared" si="4"/>
        <v>81歳04ヶ月14日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20250805170100</v>
      </c>
      <c r="B32" s="5" t="str">
        <f t="shared" si="2"/>
        <v>20250805</v>
      </c>
      <c r="C32" s="5">
        <v>20250805163041</v>
      </c>
      <c r="D32" s="5" t="str">
        <f t="shared" si="3"/>
        <v>20250805</v>
      </c>
      <c r="E32" s="6" t="s">
        <v>5</v>
      </c>
      <c r="F32" s="5">
        <v>890704</v>
      </c>
      <c r="G32" s="7" t="str">
        <f t="shared" si="4"/>
        <v>89歳07ヶ月04日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20250805181200</v>
      </c>
      <c r="B33" s="5" t="str">
        <f t="shared" si="2"/>
        <v>20250805</v>
      </c>
      <c r="C33" s="5">
        <v>20250805174353</v>
      </c>
      <c r="D33" s="5" t="str">
        <f t="shared" si="3"/>
        <v>20250805</v>
      </c>
      <c r="E33" s="6" t="s">
        <v>4</v>
      </c>
      <c r="F33" s="5">
        <v>820526</v>
      </c>
      <c r="G33" s="7" t="str">
        <f t="shared" si="4"/>
        <v>82歳05ヶ月26日</v>
      </c>
      <c r="I33" s="3" t="str">
        <f t="shared" si="0"/>
        <v>○</v>
      </c>
      <c r="J33" s="4" t="str">
        <f t="shared" si="1"/>
        <v/>
      </c>
    </row>
    <row r="34" spans="1:10" x14ac:dyDescent="0.15">
      <c r="A34" s="5">
        <v>20250806003800</v>
      </c>
      <c r="B34" s="5" t="str">
        <f t="shared" si="2"/>
        <v>20250806</v>
      </c>
      <c r="C34" s="5">
        <v>20250806002058</v>
      </c>
      <c r="D34" s="5" t="str">
        <f t="shared" si="3"/>
        <v>20250806</v>
      </c>
      <c r="E34" s="6" t="s">
        <v>4</v>
      </c>
      <c r="F34" s="5">
        <v>830320</v>
      </c>
      <c r="G34" s="7" t="str">
        <f t="shared" si="4"/>
        <v>83歳03ヶ月20日</v>
      </c>
      <c r="I34" s="3" t="str">
        <f t="shared" si="0"/>
        <v>○</v>
      </c>
      <c r="J34" s="4" t="str">
        <f t="shared" si="1"/>
        <v/>
      </c>
    </row>
    <row r="35" spans="1:10" x14ac:dyDescent="0.15">
      <c r="A35" s="5">
        <v>20250806091100</v>
      </c>
      <c r="B35" s="5" t="str">
        <f t="shared" si="2"/>
        <v>20250806</v>
      </c>
      <c r="C35" s="5">
        <v>20250805154639</v>
      </c>
      <c r="D35" s="5" t="str">
        <f t="shared" si="3"/>
        <v>20250805</v>
      </c>
      <c r="E35" s="6" t="s">
        <v>4</v>
      </c>
      <c r="F35" s="5">
        <v>880803</v>
      </c>
      <c r="G35" s="7" t="str">
        <f t="shared" si="4"/>
        <v>88歳08ヶ月03日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20250806115400</v>
      </c>
      <c r="B36" s="5" t="str">
        <f t="shared" si="2"/>
        <v>20250806</v>
      </c>
      <c r="C36" s="5">
        <v>20250806095343</v>
      </c>
      <c r="D36" s="5" t="str">
        <f t="shared" si="3"/>
        <v>20250806</v>
      </c>
      <c r="E36" s="6" t="s">
        <v>5</v>
      </c>
      <c r="F36" s="5">
        <v>830505</v>
      </c>
      <c r="G36" s="7" t="str">
        <f t="shared" si="4"/>
        <v>83歳05ヶ月05日</v>
      </c>
      <c r="I36" s="3" t="str">
        <f t="shared" si="0"/>
        <v>○</v>
      </c>
      <c r="J36" s="4" t="str">
        <f t="shared" si="1"/>
        <v/>
      </c>
    </row>
    <row r="37" spans="1:10" x14ac:dyDescent="0.15">
      <c r="A37" s="5">
        <v>20250806120000</v>
      </c>
      <c r="B37" s="5" t="str">
        <f t="shared" si="2"/>
        <v>20250806</v>
      </c>
      <c r="C37" s="5">
        <v>20250806111052</v>
      </c>
      <c r="D37" s="5" t="str">
        <f t="shared" si="3"/>
        <v>20250806</v>
      </c>
      <c r="E37" s="6" t="s">
        <v>4</v>
      </c>
      <c r="F37" s="5">
        <v>710725</v>
      </c>
      <c r="G37" s="7" t="str">
        <f t="shared" si="4"/>
        <v>71歳07ヶ月25日</v>
      </c>
      <c r="I37" s="3" t="str">
        <f t="shared" si="0"/>
        <v>○</v>
      </c>
      <c r="J37" s="4" t="str">
        <f t="shared" si="1"/>
        <v/>
      </c>
    </row>
    <row r="38" spans="1:10" x14ac:dyDescent="0.15">
      <c r="A38" s="5">
        <v>20250806140000</v>
      </c>
      <c r="B38" s="5" t="str">
        <f t="shared" si="2"/>
        <v>20250806</v>
      </c>
      <c r="C38" s="5">
        <v>20250729160422</v>
      </c>
      <c r="D38" s="5" t="str">
        <f t="shared" si="3"/>
        <v>20250729</v>
      </c>
      <c r="E38" s="6" t="s">
        <v>6</v>
      </c>
      <c r="F38" s="5">
        <v>771005</v>
      </c>
      <c r="G38" s="7" t="str">
        <f t="shared" si="4"/>
        <v>77歳10ヶ月05日</v>
      </c>
      <c r="I38" s="3" t="str">
        <f t="shared" si="0"/>
        <v/>
      </c>
      <c r="J38" s="4" t="str">
        <f t="shared" si="1"/>
        <v>○</v>
      </c>
    </row>
    <row r="39" spans="1:10" x14ac:dyDescent="0.15">
      <c r="A39" s="5">
        <v>20250806140700</v>
      </c>
      <c r="B39" s="5" t="str">
        <f t="shared" si="2"/>
        <v>20250806</v>
      </c>
      <c r="C39" s="5">
        <v>20250806123811</v>
      </c>
      <c r="D39" s="5" t="str">
        <f t="shared" si="3"/>
        <v>20250806</v>
      </c>
      <c r="E39" s="6" t="s">
        <v>5</v>
      </c>
      <c r="F39" s="5">
        <v>910527</v>
      </c>
      <c r="G39" s="7" t="str">
        <f t="shared" si="4"/>
        <v>91歳05ヶ月27日</v>
      </c>
      <c r="I39" s="3" t="str">
        <f t="shared" si="0"/>
        <v>○</v>
      </c>
      <c r="J39" s="4" t="str">
        <f t="shared" si="1"/>
        <v/>
      </c>
    </row>
    <row r="40" spans="1:10" x14ac:dyDescent="0.15">
      <c r="A40" s="5">
        <v>20250806154700</v>
      </c>
      <c r="B40" s="5" t="str">
        <f t="shared" si="2"/>
        <v>20250806</v>
      </c>
      <c r="C40" s="5">
        <v>20250806152820</v>
      </c>
      <c r="D40" s="5" t="str">
        <f t="shared" si="3"/>
        <v>20250806</v>
      </c>
      <c r="E40" s="6" t="s">
        <v>4</v>
      </c>
      <c r="F40" s="5">
        <v>860524</v>
      </c>
      <c r="G40" s="7" t="str">
        <f t="shared" si="4"/>
        <v>86歳05ヶ月24日</v>
      </c>
      <c r="I40" s="3" t="str">
        <f t="shared" si="0"/>
        <v>○</v>
      </c>
      <c r="J40" s="4" t="str">
        <f t="shared" si="1"/>
        <v/>
      </c>
    </row>
    <row r="41" spans="1:10" x14ac:dyDescent="0.15">
      <c r="A41" s="5">
        <v>20250806155600</v>
      </c>
      <c r="B41" s="5" t="str">
        <f t="shared" si="2"/>
        <v>20250806</v>
      </c>
      <c r="C41" s="5">
        <v>20250806153345</v>
      </c>
      <c r="D41" s="5" t="str">
        <f t="shared" si="3"/>
        <v>20250806</v>
      </c>
      <c r="E41" s="6" t="s">
        <v>5</v>
      </c>
      <c r="F41" s="5">
        <v>740929</v>
      </c>
      <c r="G41" s="7" t="str">
        <f t="shared" si="4"/>
        <v>74歳09ヶ月29日</v>
      </c>
      <c r="I41" s="3" t="str">
        <f t="shared" si="0"/>
        <v>○</v>
      </c>
      <c r="J41" s="4" t="str">
        <f t="shared" si="1"/>
        <v/>
      </c>
    </row>
    <row r="42" spans="1:10" x14ac:dyDescent="0.15">
      <c r="A42" s="5">
        <v>20250807091000</v>
      </c>
      <c r="B42" s="5" t="str">
        <f t="shared" si="2"/>
        <v>20250807</v>
      </c>
      <c r="C42" s="5">
        <v>20250806171910</v>
      </c>
      <c r="D42" s="5" t="str">
        <f t="shared" si="3"/>
        <v>20250806</v>
      </c>
      <c r="E42" s="6" t="s">
        <v>4</v>
      </c>
      <c r="F42" s="5">
        <v>800104</v>
      </c>
      <c r="G42" s="7" t="str">
        <f t="shared" si="4"/>
        <v>80歳01ヶ月04日</v>
      </c>
      <c r="I42" s="3" t="str">
        <f t="shared" si="0"/>
        <v/>
      </c>
      <c r="J42" s="4" t="str">
        <f t="shared" si="1"/>
        <v>○</v>
      </c>
    </row>
    <row r="43" spans="1:10" x14ac:dyDescent="0.15">
      <c r="A43" s="5">
        <v>20250807115300</v>
      </c>
      <c r="B43" s="5" t="str">
        <f t="shared" si="2"/>
        <v>20250807</v>
      </c>
      <c r="C43" s="5">
        <v>20250823114049</v>
      </c>
      <c r="D43" s="5" t="str">
        <f t="shared" si="3"/>
        <v>20250823</v>
      </c>
      <c r="E43" s="6" t="s">
        <v>4</v>
      </c>
      <c r="F43" s="5">
        <v>830412</v>
      </c>
      <c r="G43" s="7" t="str">
        <f t="shared" si="4"/>
        <v>83歳04ヶ月12日</v>
      </c>
      <c r="I43" s="3" t="str">
        <f t="shared" si="0"/>
        <v/>
      </c>
      <c r="J43" s="4" t="str">
        <f t="shared" si="1"/>
        <v>○</v>
      </c>
    </row>
    <row r="44" spans="1:10" x14ac:dyDescent="0.15">
      <c r="A44" s="5">
        <v>20250807115300</v>
      </c>
      <c r="B44" s="5" t="str">
        <f t="shared" si="2"/>
        <v>20250807</v>
      </c>
      <c r="C44" s="5">
        <v>20250807110841</v>
      </c>
      <c r="D44" s="5" t="str">
        <f t="shared" si="3"/>
        <v>20250807</v>
      </c>
      <c r="E44" s="6" t="s">
        <v>4</v>
      </c>
      <c r="F44" s="5">
        <v>830412</v>
      </c>
      <c r="G44" s="7" t="str">
        <f t="shared" si="4"/>
        <v>83歳04ヶ月12日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20250807120600</v>
      </c>
      <c r="B45" s="5" t="str">
        <f t="shared" si="2"/>
        <v>20250807</v>
      </c>
      <c r="C45" s="5">
        <v>20250807114825</v>
      </c>
      <c r="D45" s="5" t="str">
        <f t="shared" si="3"/>
        <v>20250807</v>
      </c>
      <c r="E45" s="6" t="s">
        <v>5</v>
      </c>
      <c r="F45" s="5">
        <v>960716</v>
      </c>
      <c r="G45" s="7" t="str">
        <f t="shared" si="4"/>
        <v>96歳07ヶ月16日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20250807123000</v>
      </c>
      <c r="B46" s="5" t="str">
        <f t="shared" si="2"/>
        <v>20250807</v>
      </c>
      <c r="C46" s="5">
        <v>20250728164449</v>
      </c>
      <c r="D46" s="5" t="str">
        <f t="shared" si="3"/>
        <v>20250728</v>
      </c>
      <c r="E46" s="6" t="s">
        <v>4</v>
      </c>
      <c r="F46" s="5">
        <v>770719</v>
      </c>
      <c r="G46" s="7" t="str">
        <f t="shared" si="4"/>
        <v>77歳07ヶ月19日</v>
      </c>
      <c r="I46" s="3" t="str">
        <f t="shared" si="0"/>
        <v/>
      </c>
      <c r="J46" s="4" t="str">
        <f t="shared" si="1"/>
        <v>○</v>
      </c>
    </row>
    <row r="47" spans="1:10" x14ac:dyDescent="0.15">
      <c r="A47" s="5">
        <v>20250807123000</v>
      </c>
      <c r="B47" s="5" t="str">
        <f t="shared" si="2"/>
        <v>20250807</v>
      </c>
      <c r="C47" s="5">
        <v>20250807121533</v>
      </c>
      <c r="D47" s="5" t="str">
        <f t="shared" si="3"/>
        <v>20250807</v>
      </c>
      <c r="E47" s="6" t="s">
        <v>5</v>
      </c>
      <c r="F47" s="5">
        <v>850930</v>
      </c>
      <c r="G47" s="7" t="str">
        <f t="shared" si="4"/>
        <v>85歳09ヶ月30日</v>
      </c>
      <c r="I47" s="3" t="str">
        <f t="shared" si="0"/>
        <v>○</v>
      </c>
      <c r="J47" s="4" t="str">
        <f t="shared" si="1"/>
        <v/>
      </c>
    </row>
    <row r="48" spans="1:10" x14ac:dyDescent="0.15">
      <c r="A48" s="5">
        <v>20250807153000</v>
      </c>
      <c r="B48" s="5" t="str">
        <f t="shared" si="2"/>
        <v>20250807</v>
      </c>
      <c r="C48" s="5">
        <v>20250801095944</v>
      </c>
      <c r="D48" s="5" t="str">
        <f t="shared" si="3"/>
        <v>20250801</v>
      </c>
      <c r="E48" s="6" t="s">
        <v>5</v>
      </c>
      <c r="F48" s="5">
        <v>670729</v>
      </c>
      <c r="G48" s="7" t="str">
        <f t="shared" si="4"/>
        <v>67歳07ヶ月29日</v>
      </c>
      <c r="I48" s="3" t="str">
        <f t="shared" si="0"/>
        <v/>
      </c>
      <c r="J48" s="4" t="str">
        <f t="shared" si="1"/>
        <v>○</v>
      </c>
    </row>
    <row r="49" spans="1:10" x14ac:dyDescent="0.15">
      <c r="A49" s="5">
        <v>20250807154600</v>
      </c>
      <c r="B49" s="5" t="str">
        <f t="shared" si="2"/>
        <v>20250807</v>
      </c>
      <c r="C49" s="5">
        <v>20250705095000</v>
      </c>
      <c r="D49" s="5" t="str">
        <f t="shared" si="3"/>
        <v>20250705</v>
      </c>
      <c r="E49" s="6" t="s">
        <v>4</v>
      </c>
      <c r="F49" s="5">
        <v>470724</v>
      </c>
      <c r="G49" s="7" t="str">
        <f t="shared" si="4"/>
        <v>47歳07ヶ月24日</v>
      </c>
      <c r="I49" s="3" t="str">
        <f t="shared" si="0"/>
        <v/>
      </c>
      <c r="J49" s="4" t="str">
        <f t="shared" si="1"/>
        <v>○</v>
      </c>
    </row>
    <row r="50" spans="1:10" x14ac:dyDescent="0.15">
      <c r="A50" s="5">
        <v>20250808103700</v>
      </c>
      <c r="B50" s="5" t="str">
        <f t="shared" si="2"/>
        <v>20250808</v>
      </c>
      <c r="C50" s="5">
        <v>20250807110329</v>
      </c>
      <c r="D50" s="5" t="str">
        <f t="shared" si="3"/>
        <v>20250807</v>
      </c>
      <c r="E50" s="6" t="s">
        <v>4</v>
      </c>
      <c r="F50" s="5">
        <v>680626</v>
      </c>
      <c r="G50" s="7" t="str">
        <f t="shared" si="4"/>
        <v>68歳06ヶ月26日</v>
      </c>
      <c r="I50" s="3" t="str">
        <f t="shared" si="0"/>
        <v/>
      </c>
      <c r="J50" s="4" t="str">
        <f t="shared" si="1"/>
        <v>○</v>
      </c>
    </row>
    <row r="51" spans="1:10" x14ac:dyDescent="0.15">
      <c r="A51" s="5">
        <v>20250808104900</v>
      </c>
      <c r="B51" s="5" t="str">
        <f t="shared" si="2"/>
        <v>20250808</v>
      </c>
      <c r="C51" s="5">
        <v>20250808104325</v>
      </c>
      <c r="D51" s="5" t="str">
        <f t="shared" si="3"/>
        <v>20250808</v>
      </c>
      <c r="E51" s="6" t="s">
        <v>4</v>
      </c>
      <c r="F51" s="5">
        <v>560226</v>
      </c>
      <c r="G51" s="7" t="str">
        <f t="shared" si="4"/>
        <v>56歳02ヶ月26日</v>
      </c>
      <c r="I51" s="3" t="str">
        <f t="shared" si="0"/>
        <v>○</v>
      </c>
      <c r="J51" s="4" t="str">
        <f t="shared" si="1"/>
        <v/>
      </c>
    </row>
    <row r="52" spans="1:10" x14ac:dyDescent="0.15">
      <c r="A52" s="5">
        <v>20250808105000</v>
      </c>
      <c r="B52" s="5" t="str">
        <f t="shared" si="2"/>
        <v>20250808</v>
      </c>
      <c r="C52" s="5">
        <v>20250808102708</v>
      </c>
      <c r="D52" s="5" t="str">
        <f t="shared" si="3"/>
        <v>20250808</v>
      </c>
      <c r="E52" s="6" t="s">
        <v>4</v>
      </c>
      <c r="F52" s="5">
        <v>740406</v>
      </c>
      <c r="G52" s="7" t="str">
        <f t="shared" si="4"/>
        <v>74歳04ヶ月06日</v>
      </c>
      <c r="I52" s="3" t="str">
        <f t="shared" si="0"/>
        <v>○</v>
      </c>
      <c r="J52" s="4" t="str">
        <f t="shared" si="1"/>
        <v/>
      </c>
    </row>
    <row r="53" spans="1:10" x14ac:dyDescent="0.15">
      <c r="A53" s="5">
        <v>20250808121300</v>
      </c>
      <c r="B53" s="5" t="str">
        <f t="shared" si="2"/>
        <v>20250808</v>
      </c>
      <c r="C53" s="5">
        <v>20250808115132</v>
      </c>
      <c r="D53" s="5" t="str">
        <f t="shared" si="3"/>
        <v>20250808</v>
      </c>
      <c r="E53" s="6" t="s">
        <v>5</v>
      </c>
      <c r="F53" s="5">
        <v>640523</v>
      </c>
      <c r="G53" s="7" t="str">
        <f t="shared" si="4"/>
        <v>64歳05ヶ月23日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20250808124500</v>
      </c>
      <c r="B54" s="5" t="str">
        <f t="shared" si="2"/>
        <v>20250808</v>
      </c>
      <c r="C54" s="5">
        <v>20250808131541</v>
      </c>
      <c r="D54" s="5" t="str">
        <f t="shared" si="3"/>
        <v>20250808</v>
      </c>
      <c r="E54" s="6" t="s">
        <v>5</v>
      </c>
      <c r="F54" s="5">
        <v>950016</v>
      </c>
      <c r="G54" s="7" t="str">
        <f t="shared" si="4"/>
        <v>95歳00ヶ月16日</v>
      </c>
      <c r="I54" s="3" t="str">
        <f t="shared" si="0"/>
        <v>○</v>
      </c>
      <c r="J54" s="4" t="str">
        <f t="shared" si="1"/>
        <v/>
      </c>
    </row>
    <row r="55" spans="1:10" x14ac:dyDescent="0.15">
      <c r="A55" s="5">
        <v>20250808135400</v>
      </c>
      <c r="B55" s="5" t="str">
        <f t="shared" si="2"/>
        <v>20250808</v>
      </c>
      <c r="C55" s="5">
        <v>20250808093946</v>
      </c>
      <c r="D55" s="5" t="str">
        <f t="shared" si="3"/>
        <v>20250808</v>
      </c>
      <c r="E55" s="6" t="s">
        <v>4</v>
      </c>
      <c r="F55" s="5">
        <v>860407</v>
      </c>
      <c r="G55" s="7" t="str">
        <f t="shared" si="4"/>
        <v>86歳04ヶ月07日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20250808140500</v>
      </c>
      <c r="B56" s="5" t="str">
        <f t="shared" si="2"/>
        <v>20250808</v>
      </c>
      <c r="C56" s="5">
        <v>20250803090400</v>
      </c>
      <c r="D56" s="5" t="str">
        <f t="shared" si="3"/>
        <v>20250803</v>
      </c>
      <c r="E56" s="6" t="s">
        <v>6</v>
      </c>
      <c r="F56" s="5">
        <v>750329</v>
      </c>
      <c r="G56" s="7" t="str">
        <f t="shared" si="4"/>
        <v>75歳03ヶ月29日</v>
      </c>
      <c r="I56" s="3" t="str">
        <f t="shared" si="0"/>
        <v/>
      </c>
      <c r="J56" s="4" t="str">
        <f t="shared" si="1"/>
        <v>○</v>
      </c>
    </row>
    <row r="57" spans="1:10" x14ac:dyDescent="0.15">
      <c r="A57" s="5">
        <v>20250808144000</v>
      </c>
      <c r="B57" s="5" t="str">
        <f t="shared" si="2"/>
        <v>20250808</v>
      </c>
      <c r="C57" s="5">
        <v>20250808131309</v>
      </c>
      <c r="D57" s="5" t="str">
        <f t="shared" si="3"/>
        <v>20250808</v>
      </c>
      <c r="E57" s="6" t="s">
        <v>5</v>
      </c>
      <c r="F57" s="5">
        <v>690605</v>
      </c>
      <c r="G57" s="7" t="str">
        <f t="shared" si="4"/>
        <v>69歳06ヶ月05日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20250808160200</v>
      </c>
      <c r="B58" s="5" t="str">
        <f t="shared" si="2"/>
        <v>20250808</v>
      </c>
      <c r="C58" s="5">
        <v>20250719111835</v>
      </c>
      <c r="D58" s="5" t="str">
        <f t="shared" si="3"/>
        <v>20250719</v>
      </c>
      <c r="E58" s="6" t="s">
        <v>5</v>
      </c>
      <c r="F58" s="5">
        <v>641020</v>
      </c>
      <c r="G58" s="7" t="str">
        <f t="shared" si="4"/>
        <v>64歳10ヶ月20日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20250809092100</v>
      </c>
      <c r="B59" s="5" t="str">
        <f t="shared" si="2"/>
        <v>20250809</v>
      </c>
      <c r="C59" s="5">
        <v>20250808163815</v>
      </c>
      <c r="D59" s="5" t="str">
        <f t="shared" si="3"/>
        <v>20250808</v>
      </c>
      <c r="E59" s="6" t="s">
        <v>5</v>
      </c>
      <c r="F59" s="5">
        <v>750525</v>
      </c>
      <c r="G59" s="7" t="str">
        <f t="shared" si="4"/>
        <v>75歳05ヶ月25日</v>
      </c>
      <c r="I59" s="3" t="str">
        <f t="shared" si="0"/>
        <v/>
      </c>
      <c r="J59" s="4" t="str">
        <f t="shared" si="1"/>
        <v>○</v>
      </c>
    </row>
    <row r="60" spans="1:10" x14ac:dyDescent="0.15">
      <c r="A60" s="5">
        <v>20250809094300</v>
      </c>
      <c r="B60" s="5" t="str">
        <f t="shared" si="2"/>
        <v>20250809</v>
      </c>
      <c r="C60" s="5">
        <v>20250808115150</v>
      </c>
      <c r="D60" s="5" t="str">
        <f t="shared" si="3"/>
        <v>20250808</v>
      </c>
      <c r="E60" s="6" t="s">
        <v>4</v>
      </c>
      <c r="F60" s="5">
        <v>760803</v>
      </c>
      <c r="G60" s="7" t="str">
        <f t="shared" si="4"/>
        <v>76歳08ヶ月03日</v>
      </c>
      <c r="I60" s="3" t="str">
        <f t="shared" si="0"/>
        <v/>
      </c>
      <c r="J60" s="4" t="str">
        <f t="shared" si="1"/>
        <v>○</v>
      </c>
    </row>
    <row r="61" spans="1:10" x14ac:dyDescent="0.15">
      <c r="A61" s="5">
        <v>20250809094400</v>
      </c>
      <c r="B61" s="5" t="str">
        <f t="shared" si="2"/>
        <v>20250809</v>
      </c>
      <c r="C61" s="5">
        <v>20250808164114</v>
      </c>
      <c r="D61" s="5" t="str">
        <f t="shared" si="3"/>
        <v>20250808</v>
      </c>
      <c r="E61" s="6" t="s">
        <v>4</v>
      </c>
      <c r="F61" s="5">
        <v>750921</v>
      </c>
      <c r="G61" s="7" t="str">
        <f t="shared" si="4"/>
        <v>75歳09ヶ月21日</v>
      </c>
      <c r="I61" s="3" t="str">
        <f t="shared" si="0"/>
        <v/>
      </c>
      <c r="J61" s="4" t="str">
        <f t="shared" si="1"/>
        <v>○</v>
      </c>
    </row>
    <row r="62" spans="1:10" x14ac:dyDescent="0.15">
      <c r="A62" s="5">
        <v>20250809095100</v>
      </c>
      <c r="B62" s="5" t="str">
        <f t="shared" si="2"/>
        <v>20250809</v>
      </c>
      <c r="C62" s="5">
        <v>20250808110837</v>
      </c>
      <c r="D62" s="5" t="str">
        <f t="shared" si="3"/>
        <v>20250808</v>
      </c>
      <c r="E62" s="6" t="s">
        <v>5</v>
      </c>
      <c r="F62" s="5">
        <v>811110</v>
      </c>
      <c r="G62" s="7" t="str">
        <f t="shared" si="4"/>
        <v>81歳11ヶ月10日</v>
      </c>
      <c r="I62" s="3" t="str">
        <f t="shared" si="0"/>
        <v/>
      </c>
      <c r="J62" s="4" t="str">
        <f t="shared" si="1"/>
        <v>○</v>
      </c>
    </row>
    <row r="63" spans="1:10" x14ac:dyDescent="0.15">
      <c r="A63" s="5">
        <v>20250809120600</v>
      </c>
      <c r="B63" s="5" t="str">
        <f t="shared" si="2"/>
        <v>20250809</v>
      </c>
      <c r="C63" s="5">
        <v>20250809113502</v>
      </c>
      <c r="D63" s="5" t="str">
        <f t="shared" si="3"/>
        <v>20250809</v>
      </c>
      <c r="E63" s="6" t="s">
        <v>4</v>
      </c>
      <c r="F63" s="5">
        <v>741012</v>
      </c>
      <c r="G63" s="7" t="str">
        <f t="shared" si="4"/>
        <v>74歳10ヶ月12日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20250812094200</v>
      </c>
      <c r="B64" s="5" t="str">
        <f t="shared" si="2"/>
        <v>20250812</v>
      </c>
      <c r="C64" s="5">
        <v>20250724100314</v>
      </c>
      <c r="D64" s="5" t="str">
        <f t="shared" si="3"/>
        <v>20250724</v>
      </c>
      <c r="E64" s="6" t="s">
        <v>4</v>
      </c>
      <c r="F64" s="5">
        <v>610021</v>
      </c>
      <c r="G64" s="7" t="str">
        <f t="shared" si="4"/>
        <v>61歳00ヶ月21日</v>
      </c>
      <c r="I64" s="3" t="str">
        <f t="shared" si="0"/>
        <v/>
      </c>
      <c r="J64" s="4" t="str">
        <f t="shared" si="1"/>
        <v>○</v>
      </c>
    </row>
    <row r="65" spans="1:10" x14ac:dyDescent="0.15">
      <c r="A65" s="5">
        <v>20250812094200</v>
      </c>
      <c r="B65" s="5" t="str">
        <f t="shared" si="2"/>
        <v>20250812</v>
      </c>
      <c r="C65" s="5">
        <v>20250827165307</v>
      </c>
      <c r="D65" s="5" t="str">
        <f t="shared" si="3"/>
        <v>20250827</v>
      </c>
      <c r="E65" s="6" t="s">
        <v>4</v>
      </c>
      <c r="F65" s="5">
        <v>610021</v>
      </c>
      <c r="G65" s="7" t="str">
        <f t="shared" si="4"/>
        <v>61歳00ヶ月21日</v>
      </c>
      <c r="I65" s="3" t="str">
        <f t="shared" si="0"/>
        <v/>
      </c>
      <c r="J65" s="4" t="str">
        <f t="shared" si="1"/>
        <v>○</v>
      </c>
    </row>
    <row r="66" spans="1:10" x14ac:dyDescent="0.15">
      <c r="A66" s="5">
        <v>20250812094600</v>
      </c>
      <c r="B66" s="5" t="str">
        <f t="shared" si="2"/>
        <v>20250812</v>
      </c>
      <c r="C66" s="5">
        <v>20250809110724</v>
      </c>
      <c r="D66" s="5" t="str">
        <f t="shared" si="3"/>
        <v>20250809</v>
      </c>
      <c r="E66" s="6" t="s">
        <v>5</v>
      </c>
      <c r="F66" s="5">
        <v>760123</v>
      </c>
      <c r="G66" s="7" t="str">
        <f t="shared" si="4"/>
        <v>76歳01ヶ月23日</v>
      </c>
      <c r="I66" s="3" t="str">
        <f t="shared" ref="I66:I129" si="5">IF(B66=D66,"○","")</f>
        <v/>
      </c>
      <c r="J66" s="4" t="str">
        <f t="shared" ref="J66:J129" si="6">IF(B66&lt;&gt;D66,"○","")</f>
        <v>○</v>
      </c>
    </row>
    <row r="67" spans="1:10" x14ac:dyDescent="0.15">
      <c r="A67" s="5">
        <v>20250812095500</v>
      </c>
      <c r="B67" s="5" t="str">
        <f t="shared" ref="B67:B130" si="7">MID(A67,1,8)</f>
        <v>20250812</v>
      </c>
      <c r="C67" s="5">
        <v>20250809110149</v>
      </c>
      <c r="D67" s="5" t="str">
        <f t="shared" ref="D67:D130" si="8">MID(C67,1,8)</f>
        <v>20250809</v>
      </c>
      <c r="E67" s="6" t="s">
        <v>4</v>
      </c>
      <c r="F67" s="5">
        <v>820623</v>
      </c>
      <c r="G67" s="7" t="str">
        <f t="shared" ref="G67:G130" si="9">MID(F67,1,2)&amp;"歳"&amp;MID(F67,3,2)&amp;"ヶ月"&amp;MID(F67,5,2)&amp;"日"</f>
        <v>82歳06ヶ月23日</v>
      </c>
      <c r="I67" s="3" t="str">
        <f t="shared" si="5"/>
        <v/>
      </c>
      <c r="J67" s="4" t="str">
        <f t="shared" si="6"/>
        <v>○</v>
      </c>
    </row>
    <row r="68" spans="1:10" x14ac:dyDescent="0.15">
      <c r="A68" s="5">
        <v>20250812124800</v>
      </c>
      <c r="B68" s="5" t="str">
        <f t="shared" si="7"/>
        <v>20250812</v>
      </c>
      <c r="C68" s="5">
        <v>20250812120333</v>
      </c>
      <c r="D68" s="5" t="str">
        <f t="shared" si="8"/>
        <v>20250812</v>
      </c>
      <c r="E68" s="6" t="s">
        <v>5</v>
      </c>
      <c r="F68" s="5">
        <v>640016</v>
      </c>
      <c r="G68" s="7" t="str">
        <f t="shared" si="9"/>
        <v>64歳00ヶ月16日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20250812143500</v>
      </c>
      <c r="B69" s="5" t="str">
        <f t="shared" si="7"/>
        <v>20250812</v>
      </c>
      <c r="C69" s="5">
        <v>20250812142328</v>
      </c>
      <c r="D69" s="5" t="str">
        <f t="shared" si="8"/>
        <v>20250812</v>
      </c>
      <c r="E69" s="6" t="s">
        <v>5</v>
      </c>
      <c r="F69" s="5">
        <v>840316</v>
      </c>
      <c r="G69" s="7" t="str">
        <f t="shared" si="9"/>
        <v>84歳03ヶ月16日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20250812155200</v>
      </c>
      <c r="B70" s="5" t="str">
        <f t="shared" si="7"/>
        <v>20250812</v>
      </c>
      <c r="C70" s="5">
        <v>20250812153245</v>
      </c>
      <c r="D70" s="5" t="str">
        <f t="shared" si="8"/>
        <v>20250812</v>
      </c>
      <c r="E70" s="6" t="s">
        <v>5</v>
      </c>
      <c r="F70" s="5">
        <v>950024</v>
      </c>
      <c r="G70" s="7" t="str">
        <f t="shared" si="9"/>
        <v>95歳00ヶ月24日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20250812170900</v>
      </c>
      <c r="B71" s="5" t="str">
        <f t="shared" si="7"/>
        <v>20250812</v>
      </c>
      <c r="C71" s="5">
        <v>20250628102615</v>
      </c>
      <c r="D71" s="5" t="str">
        <f t="shared" si="8"/>
        <v>20250628</v>
      </c>
      <c r="E71" s="6" t="s">
        <v>5</v>
      </c>
      <c r="F71" s="5">
        <v>670906</v>
      </c>
      <c r="G71" s="7" t="str">
        <f t="shared" si="9"/>
        <v>67歳09ヶ月06日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20250813092400</v>
      </c>
      <c r="B72" s="5" t="str">
        <f t="shared" si="7"/>
        <v>20250813</v>
      </c>
      <c r="C72" s="5">
        <v>20250611115645</v>
      </c>
      <c r="D72" s="5" t="str">
        <f t="shared" si="8"/>
        <v>20250611</v>
      </c>
      <c r="E72" s="6" t="s">
        <v>4</v>
      </c>
      <c r="F72" s="5">
        <v>550406</v>
      </c>
      <c r="G72" s="7" t="str">
        <f t="shared" si="9"/>
        <v>55歳04ヶ月06日</v>
      </c>
      <c r="I72" s="3" t="str">
        <f t="shared" si="5"/>
        <v/>
      </c>
      <c r="J72" s="4" t="str">
        <f t="shared" si="6"/>
        <v>○</v>
      </c>
    </row>
    <row r="73" spans="1:10" x14ac:dyDescent="0.15">
      <c r="A73" s="5">
        <v>20250813114600</v>
      </c>
      <c r="B73" s="5" t="str">
        <f t="shared" si="7"/>
        <v>20250813</v>
      </c>
      <c r="C73" s="5">
        <v>20250813110505</v>
      </c>
      <c r="D73" s="5" t="str">
        <f t="shared" si="8"/>
        <v>20250813</v>
      </c>
      <c r="E73" s="6" t="s">
        <v>5</v>
      </c>
      <c r="F73" s="5">
        <v>680700</v>
      </c>
      <c r="G73" s="7" t="str">
        <f t="shared" si="9"/>
        <v>68歳07ヶ月00日</v>
      </c>
      <c r="I73" s="3" t="str">
        <f t="shared" si="5"/>
        <v>○</v>
      </c>
      <c r="J73" s="4" t="str">
        <f t="shared" si="6"/>
        <v/>
      </c>
    </row>
    <row r="74" spans="1:10" x14ac:dyDescent="0.15">
      <c r="A74" s="5">
        <v>20250813130000</v>
      </c>
      <c r="B74" s="5" t="str">
        <f t="shared" si="7"/>
        <v>20250813</v>
      </c>
      <c r="C74" s="5">
        <v>20250813123202</v>
      </c>
      <c r="D74" s="5" t="str">
        <f t="shared" si="8"/>
        <v>20250813</v>
      </c>
      <c r="E74" s="6" t="s">
        <v>5</v>
      </c>
      <c r="F74" s="5">
        <v>520603</v>
      </c>
      <c r="G74" s="7" t="str">
        <f t="shared" si="9"/>
        <v>52歳06ヶ月03日</v>
      </c>
      <c r="I74" s="3" t="str">
        <f t="shared" si="5"/>
        <v>○</v>
      </c>
      <c r="J74" s="4" t="str">
        <f t="shared" si="6"/>
        <v/>
      </c>
    </row>
    <row r="75" spans="1:10" x14ac:dyDescent="0.15">
      <c r="A75" s="5">
        <v>20250813132000</v>
      </c>
      <c r="B75" s="5" t="str">
        <f t="shared" si="7"/>
        <v>20250813</v>
      </c>
      <c r="C75" s="5">
        <v>20250813124528</v>
      </c>
      <c r="D75" s="5" t="str">
        <f t="shared" si="8"/>
        <v>20250813</v>
      </c>
      <c r="E75" s="6" t="s">
        <v>4</v>
      </c>
      <c r="F75" s="5">
        <v>391121</v>
      </c>
      <c r="G75" s="7" t="str">
        <f t="shared" si="9"/>
        <v>39歳11ヶ月21日</v>
      </c>
      <c r="I75" s="3" t="str">
        <f t="shared" si="5"/>
        <v>○</v>
      </c>
      <c r="J75" s="4" t="str">
        <f t="shared" si="6"/>
        <v/>
      </c>
    </row>
    <row r="76" spans="1:10" x14ac:dyDescent="0.15">
      <c r="A76" s="5">
        <v>20250813143300</v>
      </c>
      <c r="B76" s="5" t="str">
        <f t="shared" si="7"/>
        <v>20250813</v>
      </c>
      <c r="C76" s="5">
        <v>20250813140704</v>
      </c>
      <c r="D76" s="5" t="str">
        <f t="shared" si="8"/>
        <v>20250813</v>
      </c>
      <c r="E76" s="6" t="s">
        <v>4</v>
      </c>
      <c r="F76" s="5">
        <v>410201</v>
      </c>
      <c r="G76" s="7" t="str">
        <f t="shared" si="9"/>
        <v>41歳02ヶ月01日</v>
      </c>
      <c r="I76" s="3" t="str">
        <f t="shared" si="5"/>
        <v>○</v>
      </c>
      <c r="J76" s="4" t="str">
        <f t="shared" si="6"/>
        <v/>
      </c>
    </row>
    <row r="77" spans="1:10" x14ac:dyDescent="0.15">
      <c r="A77" s="5">
        <v>20250813155100</v>
      </c>
      <c r="B77" s="5" t="str">
        <f t="shared" si="7"/>
        <v>20250813</v>
      </c>
      <c r="C77" s="5">
        <v>20250724092614</v>
      </c>
      <c r="D77" s="5" t="str">
        <f t="shared" si="8"/>
        <v>20250724</v>
      </c>
      <c r="E77" s="6" t="s">
        <v>5</v>
      </c>
      <c r="F77" s="5">
        <v>750811</v>
      </c>
      <c r="G77" s="7" t="str">
        <f t="shared" si="9"/>
        <v>75歳08ヶ月11日</v>
      </c>
      <c r="I77" s="3" t="str">
        <f t="shared" si="5"/>
        <v/>
      </c>
      <c r="J77" s="4" t="str">
        <f t="shared" si="6"/>
        <v>○</v>
      </c>
    </row>
    <row r="78" spans="1:10" x14ac:dyDescent="0.15">
      <c r="A78" s="5">
        <v>20250813161300</v>
      </c>
      <c r="B78" s="5" t="str">
        <f t="shared" si="7"/>
        <v>20250813</v>
      </c>
      <c r="C78" s="5">
        <v>20250813160354</v>
      </c>
      <c r="D78" s="5" t="str">
        <f t="shared" si="8"/>
        <v>20250813</v>
      </c>
      <c r="E78" s="6" t="s">
        <v>5</v>
      </c>
      <c r="F78" s="5">
        <v>500927</v>
      </c>
      <c r="G78" s="7" t="str">
        <f t="shared" si="9"/>
        <v>50歳09ヶ月27日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20250813164400</v>
      </c>
      <c r="B79" s="5" t="str">
        <f t="shared" si="7"/>
        <v>20250813</v>
      </c>
      <c r="C79" s="5">
        <v>20250705101752</v>
      </c>
      <c r="D79" s="5" t="str">
        <f t="shared" si="8"/>
        <v>20250705</v>
      </c>
      <c r="E79" s="6" t="s">
        <v>4</v>
      </c>
      <c r="F79" s="5">
        <v>800213</v>
      </c>
      <c r="G79" s="7" t="str">
        <f t="shared" si="9"/>
        <v>80歳02ヶ月13日</v>
      </c>
      <c r="I79" s="3" t="str">
        <f t="shared" si="5"/>
        <v/>
      </c>
      <c r="J79" s="4" t="str">
        <f t="shared" si="6"/>
        <v>○</v>
      </c>
    </row>
    <row r="80" spans="1:10" x14ac:dyDescent="0.15">
      <c r="A80" s="5">
        <v>20250813172500</v>
      </c>
      <c r="B80" s="5" t="str">
        <f t="shared" si="7"/>
        <v>20250813</v>
      </c>
      <c r="C80" s="5">
        <v>20250702153346</v>
      </c>
      <c r="D80" s="5" t="str">
        <f t="shared" si="8"/>
        <v>20250702</v>
      </c>
      <c r="E80" s="6" t="s">
        <v>5</v>
      </c>
      <c r="F80" s="5">
        <v>710029</v>
      </c>
      <c r="G80" s="7" t="str">
        <f t="shared" si="9"/>
        <v>71歳00ヶ月29日</v>
      </c>
      <c r="I80" s="3" t="str">
        <f t="shared" si="5"/>
        <v/>
      </c>
      <c r="J80" s="4" t="str">
        <f t="shared" si="6"/>
        <v>○</v>
      </c>
    </row>
    <row r="81" spans="1:10" x14ac:dyDescent="0.15">
      <c r="A81" s="5">
        <v>20250814123000</v>
      </c>
      <c r="B81" s="5" t="str">
        <f t="shared" si="7"/>
        <v>20250814</v>
      </c>
      <c r="C81" s="5">
        <v>20250814113947</v>
      </c>
      <c r="D81" s="5" t="str">
        <f t="shared" si="8"/>
        <v>20250814</v>
      </c>
      <c r="E81" s="6" t="s">
        <v>5</v>
      </c>
      <c r="F81" s="5">
        <v>460703</v>
      </c>
      <c r="G81" s="7" t="str">
        <f t="shared" si="9"/>
        <v>46歳07ヶ月03日</v>
      </c>
      <c r="I81" s="3" t="str">
        <f t="shared" si="5"/>
        <v>○</v>
      </c>
      <c r="J81" s="4" t="str">
        <f t="shared" si="6"/>
        <v/>
      </c>
    </row>
    <row r="82" spans="1:10" x14ac:dyDescent="0.15">
      <c r="A82" s="5">
        <v>20250814140900</v>
      </c>
      <c r="B82" s="5" t="str">
        <f t="shared" si="7"/>
        <v>20250814</v>
      </c>
      <c r="C82" s="5">
        <v>20250814131148</v>
      </c>
      <c r="D82" s="5" t="str">
        <f t="shared" si="8"/>
        <v>20250814</v>
      </c>
      <c r="E82" s="6" t="s">
        <v>5</v>
      </c>
      <c r="F82" s="5">
        <v>770101</v>
      </c>
      <c r="G82" s="7" t="str">
        <f t="shared" si="9"/>
        <v>77歳01ヶ月01日</v>
      </c>
      <c r="I82" s="3" t="str">
        <f t="shared" si="5"/>
        <v>○</v>
      </c>
      <c r="J82" s="4" t="str">
        <f t="shared" si="6"/>
        <v/>
      </c>
    </row>
    <row r="83" spans="1:10" x14ac:dyDescent="0.15">
      <c r="A83" s="5">
        <v>20250814142700</v>
      </c>
      <c r="B83" s="5" t="str">
        <f t="shared" si="7"/>
        <v>20250814</v>
      </c>
      <c r="C83" s="5">
        <v>20250814121151</v>
      </c>
      <c r="D83" s="5" t="str">
        <f t="shared" si="8"/>
        <v>20250814</v>
      </c>
      <c r="E83" s="6" t="s">
        <v>5</v>
      </c>
      <c r="F83" s="5">
        <v>590614</v>
      </c>
      <c r="G83" s="7" t="str">
        <f t="shared" si="9"/>
        <v>59歳06ヶ月14日</v>
      </c>
      <c r="I83" s="3" t="str">
        <f t="shared" si="5"/>
        <v>○</v>
      </c>
      <c r="J83" s="4" t="str">
        <f t="shared" si="6"/>
        <v/>
      </c>
    </row>
    <row r="84" spans="1:10" x14ac:dyDescent="0.15">
      <c r="A84" s="5">
        <v>20250814143500</v>
      </c>
      <c r="B84" s="5" t="str">
        <f t="shared" si="7"/>
        <v>20250814</v>
      </c>
      <c r="C84" s="5">
        <v>20250814140624</v>
      </c>
      <c r="D84" s="5" t="str">
        <f t="shared" si="8"/>
        <v>20250814</v>
      </c>
      <c r="E84" s="6" t="s">
        <v>4</v>
      </c>
      <c r="F84" s="5">
        <v>890530</v>
      </c>
      <c r="G84" s="7" t="str">
        <f t="shared" si="9"/>
        <v>89歳05ヶ月30日</v>
      </c>
      <c r="I84" s="3" t="str">
        <f t="shared" si="5"/>
        <v>○</v>
      </c>
      <c r="J84" s="4" t="str">
        <f t="shared" si="6"/>
        <v/>
      </c>
    </row>
    <row r="85" spans="1:10" x14ac:dyDescent="0.15">
      <c r="A85" s="5">
        <v>20250814152700</v>
      </c>
      <c r="B85" s="5" t="str">
        <f t="shared" si="7"/>
        <v>20250814</v>
      </c>
      <c r="C85" s="5">
        <v>20250802120803</v>
      </c>
      <c r="D85" s="5" t="str">
        <f t="shared" si="8"/>
        <v>20250802</v>
      </c>
      <c r="E85" s="6" t="s">
        <v>4</v>
      </c>
      <c r="F85" s="5">
        <v>770117</v>
      </c>
      <c r="G85" s="7" t="str">
        <f t="shared" si="9"/>
        <v>77歳01ヶ月17日</v>
      </c>
      <c r="I85" s="3" t="str">
        <f t="shared" si="5"/>
        <v/>
      </c>
      <c r="J85" s="4" t="str">
        <f t="shared" si="6"/>
        <v>○</v>
      </c>
    </row>
    <row r="86" spans="1:10" x14ac:dyDescent="0.15">
      <c r="A86" s="5">
        <v>20250814152700</v>
      </c>
      <c r="B86" s="5" t="str">
        <f t="shared" si="7"/>
        <v>20250814</v>
      </c>
      <c r="C86" s="5">
        <v>20250814151630</v>
      </c>
      <c r="D86" s="5" t="str">
        <f t="shared" si="8"/>
        <v>20250814</v>
      </c>
      <c r="E86" s="6" t="s">
        <v>4</v>
      </c>
      <c r="F86" s="5">
        <v>770117</v>
      </c>
      <c r="G86" s="7" t="str">
        <f t="shared" si="9"/>
        <v>77歳01ヶ月17日</v>
      </c>
      <c r="I86" s="3" t="str">
        <f t="shared" si="5"/>
        <v>○</v>
      </c>
      <c r="J86" s="4" t="str">
        <f t="shared" si="6"/>
        <v/>
      </c>
    </row>
    <row r="87" spans="1:10" x14ac:dyDescent="0.15">
      <c r="A87" s="5">
        <v>20250814154000</v>
      </c>
      <c r="B87" s="5" t="str">
        <f t="shared" si="7"/>
        <v>20250814</v>
      </c>
      <c r="C87" s="5">
        <v>20250806102221</v>
      </c>
      <c r="D87" s="5" t="str">
        <f t="shared" si="8"/>
        <v>20250806</v>
      </c>
      <c r="E87" s="6" t="s">
        <v>5</v>
      </c>
      <c r="F87" s="5">
        <v>810118</v>
      </c>
      <c r="G87" s="7" t="str">
        <f t="shared" si="9"/>
        <v>81歳01ヶ月18日</v>
      </c>
      <c r="I87" s="3" t="str">
        <f t="shared" si="5"/>
        <v/>
      </c>
      <c r="J87" s="4" t="str">
        <f t="shared" si="6"/>
        <v>○</v>
      </c>
    </row>
    <row r="88" spans="1:10" x14ac:dyDescent="0.15">
      <c r="A88" s="5">
        <v>20250814163700</v>
      </c>
      <c r="B88" s="5" t="str">
        <f t="shared" si="7"/>
        <v>20250814</v>
      </c>
      <c r="C88" s="5">
        <v>20250814163144</v>
      </c>
      <c r="D88" s="5" t="str">
        <f t="shared" si="8"/>
        <v>20250814</v>
      </c>
      <c r="E88" s="6" t="s">
        <v>4</v>
      </c>
      <c r="F88" s="5">
        <v>920030</v>
      </c>
      <c r="G88" s="7" t="str">
        <f t="shared" si="9"/>
        <v>92歳00ヶ月30日</v>
      </c>
      <c r="I88" s="3" t="str">
        <f t="shared" si="5"/>
        <v>○</v>
      </c>
      <c r="J88" s="4" t="str">
        <f t="shared" si="6"/>
        <v/>
      </c>
    </row>
    <row r="89" spans="1:10" x14ac:dyDescent="0.15">
      <c r="A89" s="5">
        <v>20250814163700</v>
      </c>
      <c r="B89" s="5" t="str">
        <f t="shared" si="7"/>
        <v>20250814</v>
      </c>
      <c r="C89" s="5">
        <v>20250821103839</v>
      </c>
      <c r="D89" s="5" t="str">
        <f t="shared" si="8"/>
        <v>20250821</v>
      </c>
      <c r="E89" s="6" t="s">
        <v>4</v>
      </c>
      <c r="F89" s="5">
        <v>920030</v>
      </c>
      <c r="G89" s="7" t="str">
        <f t="shared" si="9"/>
        <v>92歳00ヶ月30日</v>
      </c>
      <c r="I89" s="3" t="str">
        <f t="shared" si="5"/>
        <v/>
      </c>
      <c r="J89" s="4" t="str">
        <f t="shared" si="6"/>
        <v>○</v>
      </c>
    </row>
    <row r="90" spans="1:10" x14ac:dyDescent="0.15">
      <c r="A90" s="5">
        <v>20250814163800</v>
      </c>
      <c r="B90" s="5" t="str">
        <f t="shared" si="7"/>
        <v>20250814</v>
      </c>
      <c r="C90" s="5">
        <v>20250814152631</v>
      </c>
      <c r="D90" s="5" t="str">
        <f t="shared" si="8"/>
        <v>20250814</v>
      </c>
      <c r="E90" s="6" t="s">
        <v>5</v>
      </c>
      <c r="F90" s="5">
        <v>710730</v>
      </c>
      <c r="G90" s="7" t="str">
        <f t="shared" si="9"/>
        <v>71歳07ヶ月30日</v>
      </c>
      <c r="I90" s="3" t="str">
        <f t="shared" si="5"/>
        <v>○</v>
      </c>
      <c r="J90" s="4" t="str">
        <f t="shared" si="6"/>
        <v/>
      </c>
    </row>
    <row r="91" spans="1:10" x14ac:dyDescent="0.15">
      <c r="A91" s="5">
        <v>20250814180700</v>
      </c>
      <c r="B91" s="5" t="str">
        <f t="shared" si="7"/>
        <v>20250814</v>
      </c>
      <c r="C91" s="5">
        <v>20250826122529</v>
      </c>
      <c r="D91" s="5" t="str">
        <f t="shared" si="8"/>
        <v>20250826</v>
      </c>
      <c r="E91" s="6" t="s">
        <v>5</v>
      </c>
      <c r="F91" s="5">
        <v>860330</v>
      </c>
      <c r="G91" s="7" t="str">
        <f t="shared" si="9"/>
        <v>86歳03ヶ月30日</v>
      </c>
      <c r="I91" s="3" t="str">
        <f t="shared" si="5"/>
        <v/>
      </c>
      <c r="J91" s="4" t="str">
        <f t="shared" si="6"/>
        <v>○</v>
      </c>
    </row>
    <row r="92" spans="1:10" x14ac:dyDescent="0.15">
      <c r="A92" s="5">
        <v>20250814180700</v>
      </c>
      <c r="B92" s="5" t="str">
        <f t="shared" si="7"/>
        <v>20250814</v>
      </c>
      <c r="C92" s="5">
        <v>20250814174647</v>
      </c>
      <c r="D92" s="5" t="str">
        <f t="shared" si="8"/>
        <v>20250814</v>
      </c>
      <c r="E92" s="6" t="s">
        <v>5</v>
      </c>
      <c r="F92" s="5">
        <v>860330</v>
      </c>
      <c r="G92" s="7" t="str">
        <f t="shared" si="9"/>
        <v>86歳03ヶ月30日</v>
      </c>
      <c r="I92" s="3" t="str">
        <f t="shared" si="5"/>
        <v>○</v>
      </c>
      <c r="J92" s="4" t="str">
        <f t="shared" si="6"/>
        <v/>
      </c>
    </row>
    <row r="93" spans="1:10" x14ac:dyDescent="0.15">
      <c r="A93" s="5">
        <v>20250815100900</v>
      </c>
      <c r="B93" s="5" t="str">
        <f t="shared" si="7"/>
        <v>20250815</v>
      </c>
      <c r="C93" s="5">
        <v>20250814124501</v>
      </c>
      <c r="D93" s="5" t="str">
        <f t="shared" si="8"/>
        <v>20250814</v>
      </c>
      <c r="E93" s="6" t="s">
        <v>5</v>
      </c>
      <c r="F93" s="5">
        <v>491028</v>
      </c>
      <c r="G93" s="7" t="str">
        <f t="shared" si="9"/>
        <v>49歳10ヶ月28日</v>
      </c>
      <c r="I93" s="3" t="str">
        <f t="shared" si="5"/>
        <v/>
      </c>
      <c r="J93" s="4" t="str">
        <f t="shared" si="6"/>
        <v>○</v>
      </c>
    </row>
    <row r="94" spans="1:10" x14ac:dyDescent="0.15">
      <c r="A94" s="5">
        <v>20250815124000</v>
      </c>
      <c r="B94" s="5" t="str">
        <f t="shared" si="7"/>
        <v>20250815</v>
      </c>
      <c r="C94" s="5">
        <v>20250815122449</v>
      </c>
      <c r="D94" s="5" t="str">
        <f t="shared" si="8"/>
        <v>20250815</v>
      </c>
      <c r="E94" s="6" t="s">
        <v>5</v>
      </c>
      <c r="F94" s="5">
        <v>520422</v>
      </c>
      <c r="G94" s="7" t="str">
        <f t="shared" si="9"/>
        <v>52歳04ヶ月22日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20250816093300</v>
      </c>
      <c r="B95" s="5" t="str">
        <f t="shared" si="7"/>
        <v>20250816</v>
      </c>
      <c r="C95" s="5">
        <v>20250815152455</v>
      </c>
      <c r="D95" s="5" t="str">
        <f t="shared" si="8"/>
        <v>20250815</v>
      </c>
      <c r="E95" s="6" t="s">
        <v>4</v>
      </c>
      <c r="F95" s="5">
        <v>840906</v>
      </c>
      <c r="G95" s="7" t="str">
        <f t="shared" si="9"/>
        <v>84歳09ヶ月06日</v>
      </c>
      <c r="I95" s="3" t="str">
        <f t="shared" si="5"/>
        <v/>
      </c>
      <c r="J95" s="4" t="str">
        <f t="shared" si="6"/>
        <v>○</v>
      </c>
    </row>
    <row r="96" spans="1:10" x14ac:dyDescent="0.15">
      <c r="A96" s="5">
        <v>20250816100000</v>
      </c>
      <c r="B96" s="5" t="str">
        <f t="shared" si="7"/>
        <v>20250816</v>
      </c>
      <c r="C96" s="5">
        <v>20250816085450</v>
      </c>
      <c r="D96" s="5" t="str">
        <f t="shared" si="8"/>
        <v>20250816</v>
      </c>
      <c r="E96" s="6" t="s">
        <v>4</v>
      </c>
      <c r="F96" s="5">
        <v>900806</v>
      </c>
      <c r="G96" s="7" t="str">
        <f t="shared" si="9"/>
        <v>90歳08ヶ月06日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20250816130700</v>
      </c>
      <c r="B97" s="5" t="str">
        <f t="shared" si="7"/>
        <v>20250816</v>
      </c>
      <c r="C97" s="5">
        <v>20250816113046</v>
      </c>
      <c r="D97" s="5" t="str">
        <f t="shared" si="8"/>
        <v>20250816</v>
      </c>
      <c r="E97" s="6" t="s">
        <v>5</v>
      </c>
      <c r="F97" s="5">
        <v>700311</v>
      </c>
      <c r="G97" s="7" t="str">
        <f t="shared" si="9"/>
        <v>70歳03ヶ月11日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20250818095100</v>
      </c>
      <c r="B98" s="5" t="str">
        <f t="shared" si="7"/>
        <v>20250818</v>
      </c>
      <c r="C98" s="5">
        <v>20250815123256</v>
      </c>
      <c r="D98" s="5" t="str">
        <f t="shared" si="8"/>
        <v>20250815</v>
      </c>
      <c r="E98" s="6" t="s">
        <v>4</v>
      </c>
      <c r="F98" s="5">
        <v>460909</v>
      </c>
      <c r="G98" s="7" t="str">
        <f t="shared" si="9"/>
        <v>46歳09ヶ月09日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20250818095400</v>
      </c>
      <c r="B99" s="5" t="str">
        <f t="shared" si="7"/>
        <v>20250818</v>
      </c>
      <c r="C99" s="5">
        <v>20250728123122</v>
      </c>
      <c r="D99" s="5" t="str">
        <f t="shared" si="8"/>
        <v>20250728</v>
      </c>
      <c r="E99" s="6" t="s">
        <v>4</v>
      </c>
      <c r="F99" s="5">
        <v>440415</v>
      </c>
      <c r="G99" s="7" t="str">
        <f t="shared" si="9"/>
        <v>44歳04ヶ月15日</v>
      </c>
      <c r="I99" s="3" t="str">
        <f t="shared" si="5"/>
        <v/>
      </c>
      <c r="J99" s="4" t="str">
        <f t="shared" si="6"/>
        <v>○</v>
      </c>
    </row>
    <row r="100" spans="1:10" x14ac:dyDescent="0.15">
      <c r="A100" s="5">
        <v>20250818100000</v>
      </c>
      <c r="B100" s="5" t="str">
        <f t="shared" si="7"/>
        <v>20250818</v>
      </c>
      <c r="C100" s="5">
        <v>20250826222637</v>
      </c>
      <c r="D100" s="5" t="str">
        <f t="shared" si="8"/>
        <v>20250826</v>
      </c>
      <c r="E100" s="6" t="s">
        <v>4</v>
      </c>
      <c r="F100" s="5">
        <v>490329</v>
      </c>
      <c r="G100" s="7" t="str">
        <f t="shared" si="9"/>
        <v>49歳03ヶ月29日</v>
      </c>
      <c r="I100" s="3" t="str">
        <f t="shared" si="5"/>
        <v/>
      </c>
      <c r="J100" s="4" t="str">
        <f t="shared" si="6"/>
        <v>○</v>
      </c>
    </row>
    <row r="101" spans="1:10" x14ac:dyDescent="0.15">
      <c r="A101" s="5">
        <v>20250818100000</v>
      </c>
      <c r="B101" s="5" t="str">
        <f t="shared" si="7"/>
        <v>20250818</v>
      </c>
      <c r="C101" s="5">
        <v>20250712093705</v>
      </c>
      <c r="D101" s="5" t="str">
        <f t="shared" si="8"/>
        <v>20250712</v>
      </c>
      <c r="E101" s="6" t="s">
        <v>4</v>
      </c>
      <c r="F101" s="5">
        <v>490329</v>
      </c>
      <c r="G101" s="7" t="str">
        <f t="shared" si="9"/>
        <v>49歳03ヶ月29日</v>
      </c>
      <c r="I101" s="3" t="str">
        <f t="shared" si="5"/>
        <v/>
      </c>
      <c r="J101" s="4" t="str">
        <f t="shared" si="6"/>
        <v>○</v>
      </c>
    </row>
    <row r="102" spans="1:10" x14ac:dyDescent="0.15">
      <c r="A102" s="5">
        <v>20250818100200</v>
      </c>
      <c r="B102" s="5" t="str">
        <f t="shared" si="7"/>
        <v>20250818</v>
      </c>
      <c r="C102" s="5">
        <v>20250723104908</v>
      </c>
      <c r="D102" s="5" t="str">
        <f t="shared" si="8"/>
        <v>20250723</v>
      </c>
      <c r="E102" s="6" t="s">
        <v>4</v>
      </c>
      <c r="F102" s="5">
        <v>410916</v>
      </c>
      <c r="G102" s="7" t="str">
        <f t="shared" si="9"/>
        <v>41歳09ヶ月16日</v>
      </c>
      <c r="I102" s="3" t="str">
        <f t="shared" si="5"/>
        <v/>
      </c>
      <c r="J102" s="4" t="str">
        <f t="shared" si="6"/>
        <v>○</v>
      </c>
    </row>
    <row r="103" spans="1:10" x14ac:dyDescent="0.15">
      <c r="A103" s="5">
        <v>20250818101600</v>
      </c>
      <c r="B103" s="5" t="str">
        <f t="shared" si="7"/>
        <v>20250818</v>
      </c>
      <c r="C103" s="5">
        <v>20250816130812</v>
      </c>
      <c r="D103" s="5" t="str">
        <f t="shared" si="8"/>
        <v>20250816</v>
      </c>
      <c r="E103" s="6" t="s">
        <v>5</v>
      </c>
      <c r="F103" s="5">
        <v>870508</v>
      </c>
      <c r="G103" s="7" t="str">
        <f t="shared" si="9"/>
        <v>87歳05ヶ月08日</v>
      </c>
      <c r="I103" s="3" t="str">
        <f t="shared" si="5"/>
        <v/>
      </c>
      <c r="J103" s="4" t="str">
        <f t="shared" si="6"/>
        <v>○</v>
      </c>
    </row>
    <row r="104" spans="1:10" x14ac:dyDescent="0.15">
      <c r="A104" s="5">
        <v>20250818105000</v>
      </c>
      <c r="B104" s="5" t="str">
        <f t="shared" si="7"/>
        <v>20250818</v>
      </c>
      <c r="C104" s="5">
        <v>20250724114623</v>
      </c>
      <c r="D104" s="5" t="str">
        <f t="shared" si="8"/>
        <v>20250724</v>
      </c>
      <c r="E104" s="6" t="s">
        <v>4</v>
      </c>
      <c r="F104" s="5">
        <v>810113</v>
      </c>
      <c r="G104" s="7" t="str">
        <f t="shared" si="9"/>
        <v>81歳01ヶ月13日</v>
      </c>
      <c r="I104" s="3" t="str">
        <f t="shared" si="5"/>
        <v/>
      </c>
      <c r="J104" s="4" t="str">
        <f t="shared" si="6"/>
        <v>○</v>
      </c>
    </row>
    <row r="105" spans="1:10" x14ac:dyDescent="0.15">
      <c r="A105" s="5">
        <v>20250818131200</v>
      </c>
      <c r="B105" s="5" t="str">
        <f t="shared" si="7"/>
        <v>20250818</v>
      </c>
      <c r="C105" s="5">
        <v>20250818113037</v>
      </c>
      <c r="D105" s="5" t="str">
        <f t="shared" si="8"/>
        <v>20250818</v>
      </c>
      <c r="E105" s="6" t="s">
        <v>5</v>
      </c>
      <c r="F105" s="5">
        <v>750814</v>
      </c>
      <c r="G105" s="7" t="str">
        <f t="shared" si="9"/>
        <v>75歳08ヶ月14日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20250818135200</v>
      </c>
      <c r="B106" s="5" t="str">
        <f t="shared" si="7"/>
        <v>20250818</v>
      </c>
      <c r="C106" s="5">
        <v>20250730115512</v>
      </c>
      <c r="D106" s="5" t="str">
        <f t="shared" si="8"/>
        <v>20250730</v>
      </c>
      <c r="E106" s="6" t="s">
        <v>5</v>
      </c>
      <c r="F106" s="5">
        <v>660103</v>
      </c>
      <c r="G106" s="7" t="str">
        <f t="shared" si="9"/>
        <v>66歳01ヶ月03日</v>
      </c>
      <c r="I106" s="3" t="str">
        <f t="shared" si="5"/>
        <v/>
      </c>
      <c r="J106" s="4" t="str">
        <f t="shared" si="6"/>
        <v>○</v>
      </c>
    </row>
    <row r="107" spans="1:10" x14ac:dyDescent="0.15">
      <c r="A107" s="5">
        <v>20250818144500</v>
      </c>
      <c r="B107" s="5" t="str">
        <f t="shared" si="7"/>
        <v>20250818</v>
      </c>
      <c r="C107" s="5">
        <v>20250812155300</v>
      </c>
      <c r="D107" s="5" t="str">
        <f t="shared" si="8"/>
        <v>20250812</v>
      </c>
      <c r="E107" s="6" t="s">
        <v>5</v>
      </c>
      <c r="F107" s="5">
        <v>721101</v>
      </c>
      <c r="G107" s="7" t="str">
        <f t="shared" si="9"/>
        <v>72歳11ヶ月01日</v>
      </c>
      <c r="I107" s="3" t="str">
        <f t="shared" si="5"/>
        <v/>
      </c>
      <c r="J107" s="4" t="str">
        <f t="shared" si="6"/>
        <v>○</v>
      </c>
    </row>
    <row r="108" spans="1:10" x14ac:dyDescent="0.15">
      <c r="A108" s="5">
        <v>20250818151000</v>
      </c>
      <c r="B108" s="5" t="str">
        <f t="shared" si="7"/>
        <v>20250818</v>
      </c>
      <c r="C108" s="5">
        <v>20250806095330</v>
      </c>
      <c r="D108" s="5" t="str">
        <f t="shared" si="8"/>
        <v>20250806</v>
      </c>
      <c r="E108" s="6" t="s">
        <v>5</v>
      </c>
      <c r="F108" s="5">
        <v>750325</v>
      </c>
      <c r="G108" s="7" t="str">
        <f t="shared" si="9"/>
        <v>75歳03ヶ月25日</v>
      </c>
      <c r="I108" s="3" t="str">
        <f t="shared" si="5"/>
        <v/>
      </c>
      <c r="J108" s="4" t="str">
        <f t="shared" si="6"/>
        <v>○</v>
      </c>
    </row>
    <row r="109" spans="1:10" x14ac:dyDescent="0.15">
      <c r="A109" s="5">
        <v>20250818174300</v>
      </c>
      <c r="B109" s="5" t="str">
        <f t="shared" si="7"/>
        <v>20250818</v>
      </c>
      <c r="C109" s="5">
        <v>20250818164851</v>
      </c>
      <c r="D109" s="5" t="str">
        <f t="shared" si="8"/>
        <v>20250818</v>
      </c>
      <c r="E109" s="6" t="s">
        <v>4</v>
      </c>
      <c r="F109" s="5">
        <v>700320</v>
      </c>
      <c r="G109" s="7" t="str">
        <f t="shared" si="9"/>
        <v>70歳03ヶ月20日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20250818184700</v>
      </c>
      <c r="B110" s="5" t="str">
        <f t="shared" si="7"/>
        <v>20250818</v>
      </c>
      <c r="C110" s="5">
        <v>20250818180716</v>
      </c>
      <c r="D110" s="5" t="str">
        <f t="shared" si="8"/>
        <v>20250818</v>
      </c>
      <c r="E110" s="6" t="s">
        <v>5</v>
      </c>
      <c r="F110" s="5">
        <v>641016</v>
      </c>
      <c r="G110" s="7" t="str">
        <f t="shared" si="9"/>
        <v>64歳10ヶ月16日</v>
      </c>
      <c r="I110" s="3" t="str">
        <f t="shared" si="5"/>
        <v>○</v>
      </c>
      <c r="J110" s="4" t="str">
        <f t="shared" si="6"/>
        <v/>
      </c>
    </row>
    <row r="111" spans="1:10" x14ac:dyDescent="0.15">
      <c r="A111" s="5">
        <v>20250819085800</v>
      </c>
      <c r="B111" s="5" t="str">
        <f t="shared" si="7"/>
        <v>20250819</v>
      </c>
      <c r="C111" s="5">
        <v>20250818101305</v>
      </c>
      <c r="D111" s="5" t="str">
        <f t="shared" si="8"/>
        <v>20250818</v>
      </c>
      <c r="E111" s="6" t="s">
        <v>5</v>
      </c>
      <c r="F111" s="5">
        <v>741110</v>
      </c>
      <c r="G111" s="7" t="str">
        <f t="shared" si="9"/>
        <v>74歳11ヶ月10日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20250819093700</v>
      </c>
      <c r="B112" s="5" t="str">
        <f t="shared" si="7"/>
        <v>20250819</v>
      </c>
      <c r="C112" s="5">
        <v>20250818170721</v>
      </c>
      <c r="D112" s="5" t="str">
        <f t="shared" si="8"/>
        <v>20250818</v>
      </c>
      <c r="E112" s="6" t="s">
        <v>5</v>
      </c>
      <c r="F112" s="5">
        <v>831120</v>
      </c>
      <c r="G112" s="7" t="str">
        <f t="shared" si="9"/>
        <v>83歳11ヶ月20日</v>
      </c>
      <c r="I112" s="3" t="str">
        <f t="shared" si="5"/>
        <v/>
      </c>
      <c r="J112" s="4" t="str">
        <f t="shared" si="6"/>
        <v>○</v>
      </c>
    </row>
    <row r="113" spans="1:10" x14ac:dyDescent="0.15">
      <c r="A113" s="5">
        <v>20250819100000</v>
      </c>
      <c r="B113" s="5" t="str">
        <f t="shared" si="7"/>
        <v>20250819</v>
      </c>
      <c r="C113" s="5">
        <v>20250818165236</v>
      </c>
      <c r="D113" s="5" t="str">
        <f t="shared" si="8"/>
        <v>20250818</v>
      </c>
      <c r="E113" s="6" t="s">
        <v>5</v>
      </c>
      <c r="F113" s="5">
        <v>870402</v>
      </c>
      <c r="G113" s="7" t="str">
        <f t="shared" si="9"/>
        <v>87歳04ヶ月02日</v>
      </c>
      <c r="I113" s="3" t="str">
        <f t="shared" si="5"/>
        <v/>
      </c>
      <c r="J113" s="4" t="str">
        <f t="shared" si="6"/>
        <v>○</v>
      </c>
    </row>
    <row r="114" spans="1:10" x14ac:dyDescent="0.15">
      <c r="A114" s="5">
        <v>20250819102900</v>
      </c>
      <c r="B114" s="5" t="str">
        <f t="shared" si="7"/>
        <v>20250819</v>
      </c>
      <c r="C114" s="5">
        <v>20250804101645</v>
      </c>
      <c r="D114" s="5" t="str">
        <f t="shared" si="8"/>
        <v>20250804</v>
      </c>
      <c r="E114" s="6" t="s">
        <v>4</v>
      </c>
      <c r="F114" s="5">
        <v>490619</v>
      </c>
      <c r="G114" s="7" t="str">
        <f t="shared" si="9"/>
        <v>49歳06ヶ月19日</v>
      </c>
      <c r="I114" s="3" t="str">
        <f t="shared" si="5"/>
        <v/>
      </c>
      <c r="J114" s="4" t="str">
        <f t="shared" si="6"/>
        <v>○</v>
      </c>
    </row>
    <row r="115" spans="1:10" x14ac:dyDescent="0.15">
      <c r="A115" s="5">
        <v>20250819132600</v>
      </c>
      <c r="B115" s="5" t="str">
        <f t="shared" si="7"/>
        <v>20250819</v>
      </c>
      <c r="C115" s="5">
        <v>20250819130314</v>
      </c>
      <c r="D115" s="5" t="str">
        <f t="shared" si="8"/>
        <v>20250819</v>
      </c>
      <c r="E115" s="6" t="s">
        <v>4</v>
      </c>
      <c r="F115" s="5">
        <v>241112</v>
      </c>
      <c r="G115" s="7" t="str">
        <f t="shared" si="9"/>
        <v>24歳11ヶ月12日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20250819152400</v>
      </c>
      <c r="B116" s="5" t="str">
        <f t="shared" si="7"/>
        <v>20250819</v>
      </c>
      <c r="C116" s="5">
        <v>20250819142918</v>
      </c>
      <c r="D116" s="5" t="str">
        <f t="shared" si="8"/>
        <v>20250819</v>
      </c>
      <c r="E116" s="6" t="s">
        <v>4</v>
      </c>
      <c r="F116" s="5">
        <v>880710</v>
      </c>
      <c r="G116" s="7" t="str">
        <f t="shared" si="9"/>
        <v>88歳07ヶ月10日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20250819154500</v>
      </c>
      <c r="B117" s="5" t="str">
        <f t="shared" si="7"/>
        <v>20250819</v>
      </c>
      <c r="C117" s="5">
        <v>20250728144422</v>
      </c>
      <c r="D117" s="5" t="str">
        <f t="shared" si="8"/>
        <v>20250728</v>
      </c>
      <c r="E117" s="6" t="s">
        <v>5</v>
      </c>
      <c r="F117" s="5">
        <v>530406</v>
      </c>
      <c r="G117" s="7" t="str">
        <f t="shared" si="9"/>
        <v>53歳04ヶ月06日</v>
      </c>
      <c r="I117" s="3" t="str">
        <f t="shared" si="5"/>
        <v/>
      </c>
      <c r="J117" s="4" t="str">
        <f t="shared" si="6"/>
        <v>○</v>
      </c>
    </row>
    <row r="118" spans="1:10" x14ac:dyDescent="0.15">
      <c r="A118" s="5">
        <v>20250820091400</v>
      </c>
      <c r="B118" s="5" t="str">
        <f t="shared" si="7"/>
        <v>20250820</v>
      </c>
      <c r="C118" s="5">
        <v>20250812163510</v>
      </c>
      <c r="D118" s="5" t="str">
        <f t="shared" si="8"/>
        <v>20250812</v>
      </c>
      <c r="E118" s="6" t="s">
        <v>5</v>
      </c>
      <c r="F118" s="5">
        <v>551113</v>
      </c>
      <c r="G118" s="7" t="str">
        <f t="shared" si="9"/>
        <v>55歳11ヶ月13日</v>
      </c>
      <c r="I118" s="3" t="str">
        <f t="shared" si="5"/>
        <v/>
      </c>
      <c r="J118" s="4" t="str">
        <f t="shared" si="6"/>
        <v>○</v>
      </c>
    </row>
    <row r="119" spans="1:10" x14ac:dyDescent="0.15">
      <c r="A119" s="5">
        <v>20250820093700</v>
      </c>
      <c r="B119" s="5" t="str">
        <f t="shared" si="7"/>
        <v>20250820</v>
      </c>
      <c r="C119" s="5">
        <v>20250806125350</v>
      </c>
      <c r="D119" s="5" t="str">
        <f t="shared" si="8"/>
        <v>20250806</v>
      </c>
      <c r="E119" s="6" t="s">
        <v>4</v>
      </c>
      <c r="F119" s="5">
        <v>420829</v>
      </c>
      <c r="G119" s="7" t="str">
        <f t="shared" si="9"/>
        <v>42歳08ヶ月29日</v>
      </c>
      <c r="I119" s="3" t="str">
        <f t="shared" si="5"/>
        <v/>
      </c>
      <c r="J119" s="4" t="str">
        <f t="shared" si="6"/>
        <v>○</v>
      </c>
    </row>
    <row r="120" spans="1:10" x14ac:dyDescent="0.15">
      <c r="A120" s="5">
        <v>20250820100000</v>
      </c>
      <c r="B120" s="5" t="str">
        <f t="shared" si="7"/>
        <v>20250820</v>
      </c>
      <c r="C120" s="5">
        <v>20250819140141</v>
      </c>
      <c r="D120" s="5" t="str">
        <f t="shared" si="8"/>
        <v>20250819</v>
      </c>
      <c r="E120" s="6" t="s">
        <v>5</v>
      </c>
      <c r="F120" s="5">
        <v>740421</v>
      </c>
      <c r="G120" s="7" t="str">
        <f t="shared" si="9"/>
        <v>74歳04ヶ月21日</v>
      </c>
      <c r="I120" s="3" t="str">
        <f t="shared" si="5"/>
        <v/>
      </c>
      <c r="J120" s="4" t="str">
        <f t="shared" si="6"/>
        <v>○</v>
      </c>
    </row>
    <row r="121" spans="1:10" x14ac:dyDescent="0.15">
      <c r="A121" s="5">
        <v>20250820110000</v>
      </c>
      <c r="B121" s="5" t="str">
        <f t="shared" si="7"/>
        <v>20250820</v>
      </c>
      <c r="C121" s="5">
        <v>20250820100553</v>
      </c>
      <c r="D121" s="5" t="str">
        <f t="shared" si="8"/>
        <v>20250820</v>
      </c>
      <c r="E121" s="6" t="s">
        <v>4</v>
      </c>
      <c r="F121" s="5">
        <v>470805</v>
      </c>
      <c r="G121" s="7" t="str">
        <f t="shared" si="9"/>
        <v>47歳08ヶ月05日</v>
      </c>
      <c r="I121" s="3" t="str">
        <f t="shared" si="5"/>
        <v>○</v>
      </c>
      <c r="J121" s="4" t="str">
        <f t="shared" si="6"/>
        <v/>
      </c>
    </row>
    <row r="122" spans="1:10" x14ac:dyDescent="0.15">
      <c r="A122" s="5">
        <v>20250820123000</v>
      </c>
      <c r="B122" s="5" t="str">
        <f t="shared" si="7"/>
        <v>20250820</v>
      </c>
      <c r="C122" s="5">
        <v>20250820103305</v>
      </c>
      <c r="D122" s="5" t="str">
        <f t="shared" si="8"/>
        <v>20250820</v>
      </c>
      <c r="E122" s="6" t="s">
        <v>4</v>
      </c>
      <c r="F122" s="5">
        <v>700723</v>
      </c>
      <c r="G122" s="7" t="str">
        <f t="shared" si="9"/>
        <v>70歳07ヶ月23日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20250820124600</v>
      </c>
      <c r="B123" s="5" t="str">
        <f t="shared" si="7"/>
        <v>20250820</v>
      </c>
      <c r="C123" s="5">
        <v>20250820105730</v>
      </c>
      <c r="D123" s="5" t="str">
        <f t="shared" si="8"/>
        <v>20250820</v>
      </c>
      <c r="E123" s="6" t="s">
        <v>5</v>
      </c>
      <c r="F123" s="5">
        <v>230912</v>
      </c>
      <c r="G123" s="7" t="str">
        <f t="shared" si="9"/>
        <v>23歳09ヶ月12日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20250820135100</v>
      </c>
      <c r="B124" s="5" t="str">
        <f t="shared" si="7"/>
        <v>20250820</v>
      </c>
      <c r="C124" s="5">
        <v>20250820124923</v>
      </c>
      <c r="D124" s="5" t="str">
        <f t="shared" si="8"/>
        <v>20250820</v>
      </c>
      <c r="E124" s="6" t="s">
        <v>4</v>
      </c>
      <c r="F124" s="5">
        <v>860709</v>
      </c>
      <c r="G124" s="7" t="str">
        <f t="shared" si="9"/>
        <v>86歳07ヶ月09日</v>
      </c>
      <c r="I124" s="3" t="str">
        <f t="shared" si="5"/>
        <v>○</v>
      </c>
      <c r="J124" s="4" t="str">
        <f t="shared" si="6"/>
        <v/>
      </c>
    </row>
    <row r="125" spans="1:10" x14ac:dyDescent="0.15">
      <c r="A125" s="5">
        <v>20250820140900</v>
      </c>
      <c r="B125" s="5" t="str">
        <f t="shared" si="7"/>
        <v>20250820</v>
      </c>
      <c r="C125" s="5">
        <v>20250820103057</v>
      </c>
      <c r="D125" s="5" t="str">
        <f t="shared" si="8"/>
        <v>20250820</v>
      </c>
      <c r="E125" s="6" t="s">
        <v>5</v>
      </c>
      <c r="F125" s="5">
        <v>900528</v>
      </c>
      <c r="G125" s="7" t="str">
        <f t="shared" si="9"/>
        <v>90歳05ヶ月28日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20250820160000</v>
      </c>
      <c r="B126" s="5" t="str">
        <f t="shared" si="7"/>
        <v>20250820</v>
      </c>
      <c r="C126" s="5">
        <v>20250820153524</v>
      </c>
      <c r="D126" s="5" t="str">
        <f t="shared" si="8"/>
        <v>20250820</v>
      </c>
      <c r="E126" s="6" t="s">
        <v>4</v>
      </c>
      <c r="F126" s="5">
        <v>870014</v>
      </c>
      <c r="G126" s="7" t="str">
        <f t="shared" si="9"/>
        <v>87歳00ヶ月14日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20250820163000</v>
      </c>
      <c r="B127" s="5" t="str">
        <f t="shared" si="7"/>
        <v>20250820</v>
      </c>
      <c r="C127" s="5">
        <v>20250820154431</v>
      </c>
      <c r="D127" s="5" t="str">
        <f t="shared" si="8"/>
        <v>20250820</v>
      </c>
      <c r="E127" s="6" t="s">
        <v>4</v>
      </c>
      <c r="F127" s="5">
        <v>880703</v>
      </c>
      <c r="G127" s="7" t="str">
        <f t="shared" si="9"/>
        <v>88歳07ヶ月03日</v>
      </c>
      <c r="I127" s="3" t="str">
        <f t="shared" si="5"/>
        <v>○</v>
      </c>
      <c r="J127" s="4" t="str">
        <f t="shared" si="6"/>
        <v/>
      </c>
    </row>
    <row r="128" spans="1:10" x14ac:dyDescent="0.15">
      <c r="A128" s="5">
        <v>20250820170000</v>
      </c>
      <c r="B128" s="5" t="str">
        <f t="shared" si="7"/>
        <v>20250820</v>
      </c>
      <c r="C128" s="5">
        <v>20250820165614</v>
      </c>
      <c r="D128" s="5" t="str">
        <f t="shared" si="8"/>
        <v>20250820</v>
      </c>
      <c r="E128" s="6" t="s">
        <v>4</v>
      </c>
      <c r="F128" s="5">
        <v>440113</v>
      </c>
      <c r="G128" s="7" t="str">
        <f t="shared" si="9"/>
        <v>44歳01ヶ月13日</v>
      </c>
      <c r="I128" s="3" t="str">
        <f t="shared" si="5"/>
        <v>○</v>
      </c>
      <c r="J128" s="4" t="str">
        <f t="shared" si="6"/>
        <v/>
      </c>
    </row>
    <row r="129" spans="1:10" x14ac:dyDescent="0.15">
      <c r="A129" s="5">
        <v>20250820170900</v>
      </c>
      <c r="B129" s="5" t="str">
        <f t="shared" si="7"/>
        <v>20250820</v>
      </c>
      <c r="C129" s="5">
        <v>20250820150920</v>
      </c>
      <c r="D129" s="5" t="str">
        <f t="shared" si="8"/>
        <v>20250820</v>
      </c>
      <c r="E129" s="6" t="s">
        <v>5</v>
      </c>
      <c r="F129" s="5">
        <v>980916</v>
      </c>
      <c r="G129" s="7" t="str">
        <f t="shared" si="9"/>
        <v>98歳09ヶ月16日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20250821100000</v>
      </c>
      <c r="B130" s="5" t="str">
        <f t="shared" si="7"/>
        <v>20250821</v>
      </c>
      <c r="C130" s="5">
        <v>20250809115907</v>
      </c>
      <c r="D130" s="5" t="str">
        <f t="shared" si="8"/>
        <v>20250809</v>
      </c>
      <c r="E130" s="6" t="s">
        <v>4</v>
      </c>
      <c r="F130" s="5">
        <v>840619</v>
      </c>
      <c r="G130" s="7" t="str">
        <f t="shared" si="9"/>
        <v>84歳06ヶ月19日</v>
      </c>
      <c r="I130" s="3" t="str">
        <f t="shared" ref="I130:I186" si="10">IF(B130=D130,"○","")</f>
        <v/>
      </c>
      <c r="J130" s="4" t="str">
        <f t="shared" ref="J130:J186" si="11">IF(B130&lt;&gt;D130,"○","")</f>
        <v>○</v>
      </c>
    </row>
    <row r="131" spans="1:10" x14ac:dyDescent="0.15">
      <c r="A131" s="5">
        <v>20250821110000</v>
      </c>
      <c r="B131" s="5" t="str">
        <f t="shared" ref="B131:B186" si="12">MID(A131,1,8)</f>
        <v>20250821</v>
      </c>
      <c r="C131" s="5">
        <v>20250814163144</v>
      </c>
      <c r="D131" s="5" t="str">
        <f t="shared" ref="D131:D186" si="13">MID(C131,1,8)</f>
        <v>20250814</v>
      </c>
      <c r="E131" s="6" t="s">
        <v>4</v>
      </c>
      <c r="F131" s="5">
        <v>920105</v>
      </c>
      <c r="G131" s="7" t="str">
        <f t="shared" ref="G131:G186" si="14">MID(F131,1,2)&amp;"歳"&amp;MID(F131,3,2)&amp;"ヶ月"&amp;MID(F131,5,2)&amp;"日"</f>
        <v>92歳01ヶ月05日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20250821110000</v>
      </c>
      <c r="B132" s="5" t="str">
        <f t="shared" si="12"/>
        <v>20250821</v>
      </c>
      <c r="C132" s="5">
        <v>20250821103839</v>
      </c>
      <c r="D132" s="5" t="str">
        <f t="shared" si="13"/>
        <v>20250821</v>
      </c>
      <c r="E132" s="6" t="s">
        <v>4</v>
      </c>
      <c r="F132" s="5">
        <v>920105</v>
      </c>
      <c r="G132" s="7" t="str">
        <f t="shared" si="14"/>
        <v>92歳01ヶ月05日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20250821123100</v>
      </c>
      <c r="B133" s="5" t="str">
        <f t="shared" si="12"/>
        <v>20250821</v>
      </c>
      <c r="C133" s="5">
        <v>20250821112904</v>
      </c>
      <c r="D133" s="5" t="str">
        <f t="shared" si="13"/>
        <v>20250821</v>
      </c>
      <c r="E133" s="6" t="s">
        <v>4</v>
      </c>
      <c r="F133" s="5">
        <v>830921</v>
      </c>
      <c r="G133" s="7" t="str">
        <f t="shared" si="14"/>
        <v>83歳09ヶ月21日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20250821134500</v>
      </c>
      <c r="B134" s="5" t="str">
        <f t="shared" si="12"/>
        <v>20250821</v>
      </c>
      <c r="C134" s="5">
        <v>20250821125258</v>
      </c>
      <c r="D134" s="5" t="str">
        <f t="shared" si="13"/>
        <v>20250821</v>
      </c>
      <c r="E134" s="6" t="s">
        <v>5</v>
      </c>
      <c r="F134" s="5">
        <v>820923</v>
      </c>
      <c r="G134" s="7" t="str">
        <f t="shared" si="14"/>
        <v>82歳09ヶ月23日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20250821152400</v>
      </c>
      <c r="B135" s="5" t="str">
        <f t="shared" si="12"/>
        <v>20250821</v>
      </c>
      <c r="C135" s="5">
        <v>20250821150847</v>
      </c>
      <c r="D135" s="5" t="str">
        <f t="shared" si="13"/>
        <v>20250821</v>
      </c>
      <c r="E135" s="6" t="s">
        <v>5</v>
      </c>
      <c r="F135" s="5">
        <v>910717</v>
      </c>
      <c r="G135" s="7" t="str">
        <f t="shared" si="14"/>
        <v>91歳07ヶ月17日</v>
      </c>
      <c r="I135" s="3" t="str">
        <f t="shared" si="10"/>
        <v>○</v>
      </c>
      <c r="J135" s="4" t="str">
        <f t="shared" si="11"/>
        <v/>
      </c>
    </row>
    <row r="136" spans="1:10" x14ac:dyDescent="0.15">
      <c r="A136" s="5">
        <v>20250821153000</v>
      </c>
      <c r="B136" s="5" t="str">
        <f t="shared" si="12"/>
        <v>20250821</v>
      </c>
      <c r="C136" s="5">
        <v>20250718152741</v>
      </c>
      <c r="D136" s="5" t="str">
        <f t="shared" si="13"/>
        <v>20250718</v>
      </c>
      <c r="E136" s="6" t="s">
        <v>5</v>
      </c>
      <c r="F136" s="5">
        <v>410611</v>
      </c>
      <c r="G136" s="7" t="str">
        <f t="shared" si="14"/>
        <v>41歳06ヶ月11日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20250821164000</v>
      </c>
      <c r="B137" s="5" t="str">
        <f t="shared" si="12"/>
        <v>20250821</v>
      </c>
      <c r="C137" s="5">
        <v>20250802100409</v>
      </c>
      <c r="D137" s="5" t="str">
        <f t="shared" si="13"/>
        <v>20250802</v>
      </c>
      <c r="E137" s="6" t="s">
        <v>5</v>
      </c>
      <c r="F137" s="5">
        <v>510803</v>
      </c>
      <c r="G137" s="7" t="str">
        <f t="shared" si="14"/>
        <v>51歳08ヶ月03日</v>
      </c>
      <c r="I137" s="3" t="str">
        <f t="shared" si="10"/>
        <v/>
      </c>
      <c r="J137" s="4" t="str">
        <f t="shared" si="11"/>
        <v>○</v>
      </c>
    </row>
    <row r="138" spans="1:10" x14ac:dyDescent="0.15">
      <c r="A138" s="5">
        <v>20250822113300</v>
      </c>
      <c r="B138" s="5" t="str">
        <f t="shared" si="12"/>
        <v>20250822</v>
      </c>
      <c r="C138" s="5">
        <v>20250822102125</v>
      </c>
      <c r="D138" s="5" t="str">
        <f t="shared" si="13"/>
        <v>20250822</v>
      </c>
      <c r="E138" s="6" t="s">
        <v>4</v>
      </c>
      <c r="F138" s="5">
        <v>820424</v>
      </c>
      <c r="G138" s="7" t="str">
        <f t="shared" si="14"/>
        <v>82歳04ヶ月24日</v>
      </c>
      <c r="I138" s="3" t="str">
        <f t="shared" si="10"/>
        <v>○</v>
      </c>
      <c r="J138" s="4" t="str">
        <f t="shared" si="11"/>
        <v/>
      </c>
    </row>
    <row r="139" spans="1:10" x14ac:dyDescent="0.15">
      <c r="A139" s="5">
        <v>20250822115400</v>
      </c>
      <c r="B139" s="5" t="str">
        <f t="shared" si="12"/>
        <v>20250822</v>
      </c>
      <c r="C139" s="5">
        <v>20250822105329</v>
      </c>
      <c r="D139" s="5" t="str">
        <f t="shared" si="13"/>
        <v>20250822</v>
      </c>
      <c r="E139" s="6" t="s">
        <v>4</v>
      </c>
      <c r="F139" s="5">
        <v>781101</v>
      </c>
      <c r="G139" s="7" t="str">
        <f t="shared" si="14"/>
        <v>78歳11ヶ月01日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20250822144800</v>
      </c>
      <c r="B140" s="5" t="str">
        <f t="shared" si="12"/>
        <v>20250822</v>
      </c>
      <c r="C140" s="5">
        <v>20250822135105</v>
      </c>
      <c r="D140" s="5" t="str">
        <f t="shared" si="13"/>
        <v>20250822</v>
      </c>
      <c r="E140" s="6" t="s">
        <v>5</v>
      </c>
      <c r="F140" s="5">
        <v>880612</v>
      </c>
      <c r="G140" s="7" t="str">
        <f t="shared" si="14"/>
        <v>88歳06ヶ月12日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20250822161000</v>
      </c>
      <c r="B141" s="5" t="str">
        <f t="shared" si="12"/>
        <v>20250822</v>
      </c>
      <c r="C141" s="5">
        <v>20250818170657</v>
      </c>
      <c r="D141" s="5" t="str">
        <f t="shared" si="13"/>
        <v>20250818</v>
      </c>
      <c r="E141" s="6" t="s">
        <v>5</v>
      </c>
      <c r="F141" s="5">
        <v>550028</v>
      </c>
      <c r="G141" s="7" t="str">
        <f t="shared" si="14"/>
        <v>55歳00ヶ月28日</v>
      </c>
      <c r="I141" s="3" t="str">
        <f t="shared" si="10"/>
        <v/>
      </c>
      <c r="J141" s="4" t="str">
        <f t="shared" si="11"/>
        <v>○</v>
      </c>
    </row>
    <row r="142" spans="1:10" x14ac:dyDescent="0.15">
      <c r="A142" s="5">
        <v>20250822165500</v>
      </c>
      <c r="B142" s="5" t="str">
        <f t="shared" si="12"/>
        <v>20250822</v>
      </c>
      <c r="C142" s="5">
        <v>20250822161334</v>
      </c>
      <c r="D142" s="5" t="str">
        <f t="shared" si="13"/>
        <v>20250822</v>
      </c>
      <c r="E142" s="6" t="s">
        <v>5</v>
      </c>
      <c r="F142" s="5">
        <v>620723</v>
      </c>
      <c r="G142" s="7" t="str">
        <f t="shared" si="14"/>
        <v>62歳07ヶ月23日</v>
      </c>
      <c r="I142" s="3" t="str">
        <f t="shared" si="10"/>
        <v>○</v>
      </c>
      <c r="J142" s="4" t="str">
        <f t="shared" si="11"/>
        <v/>
      </c>
    </row>
    <row r="143" spans="1:10" x14ac:dyDescent="0.15">
      <c r="A143" s="5">
        <v>20250823123700</v>
      </c>
      <c r="B143" s="5" t="str">
        <f t="shared" si="12"/>
        <v>20250823</v>
      </c>
      <c r="C143" s="5">
        <v>20250823113343</v>
      </c>
      <c r="D143" s="5" t="str">
        <f t="shared" si="13"/>
        <v>20250823</v>
      </c>
      <c r="E143" s="6" t="s">
        <v>4</v>
      </c>
      <c r="F143" s="5">
        <v>750821</v>
      </c>
      <c r="G143" s="7" t="str">
        <f t="shared" si="14"/>
        <v>75歳08ヶ月21日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20250823123800</v>
      </c>
      <c r="B144" s="5" t="str">
        <f t="shared" si="12"/>
        <v>20250823</v>
      </c>
      <c r="C144" s="5">
        <v>20250823114049</v>
      </c>
      <c r="D144" s="5" t="str">
        <f t="shared" si="13"/>
        <v>20250823</v>
      </c>
      <c r="E144" s="6" t="s">
        <v>5</v>
      </c>
      <c r="F144" s="5">
        <v>830428</v>
      </c>
      <c r="G144" s="7" t="str">
        <f t="shared" si="14"/>
        <v>83歳04ヶ月28日</v>
      </c>
      <c r="I144" s="3" t="str">
        <f t="shared" si="10"/>
        <v>○</v>
      </c>
      <c r="J144" s="4" t="str">
        <f t="shared" si="11"/>
        <v/>
      </c>
    </row>
    <row r="145" spans="1:10" x14ac:dyDescent="0.15">
      <c r="A145" s="5">
        <v>20250823123800</v>
      </c>
      <c r="B145" s="5" t="str">
        <f t="shared" si="12"/>
        <v>20250823</v>
      </c>
      <c r="C145" s="5">
        <v>20250807110841</v>
      </c>
      <c r="D145" s="5" t="str">
        <f t="shared" si="13"/>
        <v>20250807</v>
      </c>
      <c r="E145" s="6" t="s">
        <v>5</v>
      </c>
      <c r="F145" s="5">
        <v>830428</v>
      </c>
      <c r="G145" s="7" t="str">
        <f t="shared" si="14"/>
        <v>83歳04ヶ月28日</v>
      </c>
      <c r="I145" s="3" t="str">
        <f t="shared" si="10"/>
        <v/>
      </c>
      <c r="J145" s="4" t="str">
        <f t="shared" si="11"/>
        <v>○</v>
      </c>
    </row>
    <row r="146" spans="1:10" x14ac:dyDescent="0.15">
      <c r="A146" s="5">
        <v>20250823203700</v>
      </c>
      <c r="B146" s="5" t="str">
        <f t="shared" si="12"/>
        <v>20250823</v>
      </c>
      <c r="C146" s="5">
        <v>20250823194502</v>
      </c>
      <c r="D146" s="5" t="str">
        <f t="shared" si="13"/>
        <v>20250823</v>
      </c>
      <c r="E146" s="6" t="s">
        <v>4</v>
      </c>
      <c r="F146" s="5">
        <v>740508</v>
      </c>
      <c r="G146" s="7" t="str">
        <f t="shared" si="14"/>
        <v>74歳05ヶ月08日</v>
      </c>
      <c r="I146" s="3" t="str">
        <f t="shared" si="10"/>
        <v>○</v>
      </c>
      <c r="J146" s="4" t="str">
        <f t="shared" si="11"/>
        <v/>
      </c>
    </row>
    <row r="147" spans="1:10" x14ac:dyDescent="0.15">
      <c r="A147" s="5">
        <v>20250824145000</v>
      </c>
      <c r="B147" s="5" t="str">
        <f t="shared" si="12"/>
        <v>20250824</v>
      </c>
      <c r="C147" s="5">
        <v>20250824142045</v>
      </c>
      <c r="D147" s="5" t="str">
        <f t="shared" si="13"/>
        <v>20250824</v>
      </c>
      <c r="E147" s="6" t="s">
        <v>5</v>
      </c>
      <c r="F147" s="5">
        <v>970507</v>
      </c>
      <c r="G147" s="7" t="str">
        <f t="shared" si="14"/>
        <v>97歳05ヶ月07日</v>
      </c>
      <c r="I147" s="3" t="str">
        <f t="shared" si="10"/>
        <v>○</v>
      </c>
      <c r="J147" s="4" t="str">
        <f t="shared" si="11"/>
        <v/>
      </c>
    </row>
    <row r="148" spans="1:10" x14ac:dyDescent="0.15">
      <c r="A148" s="5">
        <v>20250825092500</v>
      </c>
      <c r="B148" s="5" t="str">
        <f t="shared" si="12"/>
        <v>20250825</v>
      </c>
      <c r="C148" s="5">
        <v>20250808154220</v>
      </c>
      <c r="D148" s="5" t="str">
        <f t="shared" si="13"/>
        <v>20250808</v>
      </c>
      <c r="E148" s="6" t="s">
        <v>4</v>
      </c>
      <c r="F148" s="5">
        <v>830010</v>
      </c>
      <c r="G148" s="7" t="str">
        <f t="shared" si="14"/>
        <v>83歳00ヶ月10日</v>
      </c>
      <c r="I148" s="3" t="str">
        <f t="shared" si="10"/>
        <v/>
      </c>
      <c r="J148" s="4" t="str">
        <f t="shared" si="11"/>
        <v>○</v>
      </c>
    </row>
    <row r="149" spans="1:10" x14ac:dyDescent="0.15">
      <c r="A149" s="5">
        <v>20250825095400</v>
      </c>
      <c r="B149" s="5" t="str">
        <f t="shared" si="12"/>
        <v>20250825</v>
      </c>
      <c r="C149" s="5">
        <v>20250821103342</v>
      </c>
      <c r="D149" s="5" t="str">
        <f t="shared" si="13"/>
        <v>20250821</v>
      </c>
      <c r="E149" s="6" t="s">
        <v>4</v>
      </c>
      <c r="F149" s="5">
        <v>471006</v>
      </c>
      <c r="G149" s="7" t="str">
        <f t="shared" si="14"/>
        <v>47歳10ヶ月06日</v>
      </c>
      <c r="I149" s="3" t="str">
        <f t="shared" si="10"/>
        <v/>
      </c>
      <c r="J149" s="4" t="str">
        <f t="shared" si="11"/>
        <v>○</v>
      </c>
    </row>
    <row r="150" spans="1:10" x14ac:dyDescent="0.15">
      <c r="A150" s="5">
        <v>20250825100400</v>
      </c>
      <c r="B150" s="5" t="str">
        <f t="shared" si="12"/>
        <v>20250825</v>
      </c>
      <c r="C150" s="5">
        <v>20250731103802</v>
      </c>
      <c r="D150" s="5" t="str">
        <f t="shared" si="13"/>
        <v>20250731</v>
      </c>
      <c r="E150" s="6" t="s">
        <v>4</v>
      </c>
      <c r="F150" s="5">
        <v>701116</v>
      </c>
      <c r="G150" s="7" t="str">
        <f t="shared" si="14"/>
        <v>70歳11ヶ月16日</v>
      </c>
      <c r="I150" s="3" t="str">
        <f t="shared" si="10"/>
        <v/>
      </c>
      <c r="J150" s="4" t="str">
        <f t="shared" si="11"/>
        <v>○</v>
      </c>
    </row>
    <row r="151" spans="1:10" x14ac:dyDescent="0.15">
      <c r="A151" s="5">
        <v>20250825142000</v>
      </c>
      <c r="B151" s="5" t="str">
        <f t="shared" si="12"/>
        <v>20250825</v>
      </c>
      <c r="C151" s="5">
        <v>20250711111049</v>
      </c>
      <c r="D151" s="5" t="str">
        <f t="shared" si="13"/>
        <v>20250711</v>
      </c>
      <c r="E151" s="6" t="s">
        <v>4</v>
      </c>
      <c r="F151" s="5">
        <v>730409</v>
      </c>
      <c r="G151" s="7" t="str">
        <f t="shared" si="14"/>
        <v>73歳04ヶ月09日</v>
      </c>
      <c r="I151" s="3" t="str">
        <f t="shared" si="10"/>
        <v/>
      </c>
      <c r="J151" s="4" t="str">
        <f t="shared" si="11"/>
        <v>○</v>
      </c>
    </row>
    <row r="152" spans="1:10" x14ac:dyDescent="0.15">
      <c r="A152" s="5">
        <v>20250825144700</v>
      </c>
      <c r="B152" s="5" t="str">
        <f t="shared" si="12"/>
        <v>20250825</v>
      </c>
      <c r="C152" s="5">
        <v>20250818093207</v>
      </c>
      <c r="D152" s="5" t="str">
        <f t="shared" si="13"/>
        <v>20250818</v>
      </c>
      <c r="E152" s="6" t="s">
        <v>5</v>
      </c>
      <c r="F152" s="5">
        <v>710418</v>
      </c>
      <c r="G152" s="7" t="str">
        <f t="shared" si="14"/>
        <v>71歳04ヶ月18日</v>
      </c>
      <c r="I152" s="3" t="str">
        <f t="shared" si="10"/>
        <v/>
      </c>
      <c r="J152" s="4" t="str">
        <f t="shared" si="11"/>
        <v>○</v>
      </c>
    </row>
    <row r="153" spans="1:10" x14ac:dyDescent="0.15">
      <c r="A153" s="5">
        <v>20250825153700</v>
      </c>
      <c r="B153" s="5" t="str">
        <f t="shared" si="12"/>
        <v>20250825</v>
      </c>
      <c r="C153" s="5">
        <v>20250724145922</v>
      </c>
      <c r="D153" s="5" t="str">
        <f t="shared" si="13"/>
        <v>20250724</v>
      </c>
      <c r="E153" s="6" t="s">
        <v>5</v>
      </c>
      <c r="F153" s="5">
        <v>440201</v>
      </c>
      <c r="G153" s="7" t="str">
        <f t="shared" si="14"/>
        <v>44歳02ヶ月01日</v>
      </c>
      <c r="I153" s="3" t="str">
        <f t="shared" si="10"/>
        <v/>
      </c>
      <c r="J153" s="4" t="str">
        <f t="shared" si="11"/>
        <v>○</v>
      </c>
    </row>
    <row r="154" spans="1:10" x14ac:dyDescent="0.15">
      <c r="A154" s="5">
        <v>20250825163600</v>
      </c>
      <c r="B154" s="5" t="str">
        <f t="shared" si="12"/>
        <v>20250825</v>
      </c>
      <c r="C154" s="5">
        <v>20250813095024</v>
      </c>
      <c r="D154" s="5" t="str">
        <f t="shared" si="13"/>
        <v>20250813</v>
      </c>
      <c r="E154" s="6" t="s">
        <v>5</v>
      </c>
      <c r="F154" s="5">
        <v>780612</v>
      </c>
      <c r="G154" s="7" t="str">
        <f t="shared" si="14"/>
        <v>78歳06ヶ月12日</v>
      </c>
      <c r="I154" s="3" t="str">
        <f t="shared" si="10"/>
        <v/>
      </c>
      <c r="J154" s="4" t="str">
        <f t="shared" si="11"/>
        <v>○</v>
      </c>
    </row>
    <row r="155" spans="1:10" x14ac:dyDescent="0.15">
      <c r="A155" s="5">
        <v>20250825184400</v>
      </c>
      <c r="B155" s="5" t="str">
        <f t="shared" si="12"/>
        <v>20250825</v>
      </c>
      <c r="C155" s="5">
        <v>20250825182855</v>
      </c>
      <c r="D155" s="5" t="str">
        <f t="shared" si="13"/>
        <v>20250825</v>
      </c>
      <c r="E155" s="6" t="s">
        <v>4</v>
      </c>
      <c r="F155" s="5">
        <v>810213</v>
      </c>
      <c r="G155" s="7" t="str">
        <f t="shared" si="14"/>
        <v>81歳02ヶ月13日</v>
      </c>
      <c r="I155" s="3" t="str">
        <f t="shared" si="10"/>
        <v>○</v>
      </c>
      <c r="J155" s="4" t="str">
        <f t="shared" si="11"/>
        <v/>
      </c>
    </row>
    <row r="156" spans="1:10" x14ac:dyDescent="0.15">
      <c r="A156" s="5">
        <v>20250826095400</v>
      </c>
      <c r="B156" s="5" t="str">
        <f t="shared" si="12"/>
        <v>20250826</v>
      </c>
      <c r="C156" s="5">
        <v>20250725104109</v>
      </c>
      <c r="D156" s="5" t="str">
        <f t="shared" si="13"/>
        <v>20250725</v>
      </c>
      <c r="E156" s="6" t="s">
        <v>4</v>
      </c>
      <c r="F156" s="5">
        <v>160006</v>
      </c>
      <c r="G156" s="7" t="str">
        <f t="shared" si="14"/>
        <v>16歳00ヶ月06日</v>
      </c>
      <c r="I156" s="3" t="str">
        <f t="shared" si="10"/>
        <v/>
      </c>
      <c r="J156" s="4" t="str">
        <f t="shared" si="11"/>
        <v>○</v>
      </c>
    </row>
    <row r="157" spans="1:10" x14ac:dyDescent="0.15">
      <c r="A157" s="5">
        <v>20250826115700</v>
      </c>
      <c r="B157" s="5" t="str">
        <f t="shared" si="12"/>
        <v>20250826</v>
      </c>
      <c r="C157" s="5">
        <v>20250826110539</v>
      </c>
      <c r="D157" s="5" t="str">
        <f t="shared" si="13"/>
        <v>20250826</v>
      </c>
      <c r="E157" s="6" t="s">
        <v>5</v>
      </c>
      <c r="F157" s="5">
        <v>931106</v>
      </c>
      <c r="G157" s="7" t="str">
        <f t="shared" si="14"/>
        <v>93歳11ヶ月06日</v>
      </c>
      <c r="I157" s="3" t="str">
        <f t="shared" si="10"/>
        <v>○</v>
      </c>
      <c r="J157" s="4" t="str">
        <f t="shared" si="11"/>
        <v/>
      </c>
    </row>
    <row r="158" spans="1:10" x14ac:dyDescent="0.15">
      <c r="A158" s="5">
        <v>20250826125600</v>
      </c>
      <c r="B158" s="5" t="str">
        <f t="shared" si="12"/>
        <v>20250826</v>
      </c>
      <c r="C158" s="5">
        <v>20250826120921</v>
      </c>
      <c r="D158" s="5" t="str">
        <f t="shared" si="13"/>
        <v>20250826</v>
      </c>
      <c r="E158" s="6" t="s">
        <v>4</v>
      </c>
      <c r="F158" s="5">
        <v>910828</v>
      </c>
      <c r="G158" s="7" t="str">
        <f t="shared" si="14"/>
        <v>91歳08ヶ月28日</v>
      </c>
      <c r="I158" s="3" t="str">
        <f t="shared" si="10"/>
        <v>○</v>
      </c>
      <c r="J158" s="4" t="str">
        <f t="shared" si="11"/>
        <v/>
      </c>
    </row>
    <row r="159" spans="1:10" x14ac:dyDescent="0.15">
      <c r="A159" s="5">
        <v>20250826131900</v>
      </c>
      <c r="B159" s="5" t="str">
        <f t="shared" si="12"/>
        <v>20250826</v>
      </c>
      <c r="C159" s="5">
        <v>20250826122529</v>
      </c>
      <c r="D159" s="5" t="str">
        <f t="shared" si="13"/>
        <v>20250826</v>
      </c>
      <c r="E159" s="6" t="s">
        <v>4</v>
      </c>
      <c r="F159" s="5">
        <v>860413</v>
      </c>
      <c r="G159" s="7" t="str">
        <f t="shared" si="14"/>
        <v>86歳04ヶ月13日</v>
      </c>
      <c r="I159" s="3" t="str">
        <f t="shared" si="10"/>
        <v>○</v>
      </c>
      <c r="J159" s="4" t="str">
        <f t="shared" si="11"/>
        <v/>
      </c>
    </row>
    <row r="160" spans="1:10" x14ac:dyDescent="0.15">
      <c r="A160" s="5">
        <v>20250826131900</v>
      </c>
      <c r="B160" s="5" t="str">
        <f t="shared" si="12"/>
        <v>20250826</v>
      </c>
      <c r="C160" s="5">
        <v>20250814174647</v>
      </c>
      <c r="D160" s="5" t="str">
        <f t="shared" si="13"/>
        <v>20250814</v>
      </c>
      <c r="E160" s="6" t="s">
        <v>4</v>
      </c>
      <c r="F160" s="5">
        <v>860413</v>
      </c>
      <c r="G160" s="7" t="str">
        <f t="shared" si="14"/>
        <v>86歳04ヶ月13日</v>
      </c>
      <c r="I160" s="3" t="str">
        <f t="shared" si="10"/>
        <v/>
      </c>
      <c r="J160" s="4" t="str">
        <f t="shared" si="11"/>
        <v>○</v>
      </c>
    </row>
    <row r="161" spans="1:10" x14ac:dyDescent="0.15">
      <c r="A161" s="5">
        <v>20250826141200</v>
      </c>
      <c r="B161" s="5" t="str">
        <f t="shared" si="12"/>
        <v>20250826</v>
      </c>
      <c r="C161" s="5">
        <v>20250826132546</v>
      </c>
      <c r="D161" s="5" t="str">
        <f t="shared" si="13"/>
        <v>20250826</v>
      </c>
      <c r="E161" s="6" t="s">
        <v>5</v>
      </c>
      <c r="F161" s="5">
        <v>270928</v>
      </c>
      <c r="G161" s="7" t="str">
        <f t="shared" si="14"/>
        <v>27歳09ヶ月28日</v>
      </c>
      <c r="I161" s="3" t="str">
        <f t="shared" si="10"/>
        <v>○</v>
      </c>
      <c r="J161" s="4" t="str">
        <f t="shared" si="11"/>
        <v/>
      </c>
    </row>
    <row r="162" spans="1:10" x14ac:dyDescent="0.15">
      <c r="A162" s="5">
        <v>20250826155600</v>
      </c>
      <c r="B162" s="5" t="str">
        <f t="shared" si="12"/>
        <v>20250826</v>
      </c>
      <c r="C162" s="5">
        <v>20250826154740</v>
      </c>
      <c r="D162" s="5" t="str">
        <f t="shared" si="13"/>
        <v>20250826</v>
      </c>
      <c r="E162" s="6" t="s">
        <v>5</v>
      </c>
      <c r="F162" s="5">
        <v>730613</v>
      </c>
      <c r="G162" s="7" t="str">
        <f t="shared" si="14"/>
        <v>73歳06ヶ月13日</v>
      </c>
      <c r="I162" s="3" t="str">
        <f t="shared" si="10"/>
        <v>○</v>
      </c>
      <c r="J162" s="4" t="str">
        <f t="shared" si="11"/>
        <v/>
      </c>
    </row>
    <row r="163" spans="1:10" x14ac:dyDescent="0.15">
      <c r="A163" s="5">
        <v>20250826160800</v>
      </c>
      <c r="B163" s="5" t="str">
        <f t="shared" si="12"/>
        <v>20250826</v>
      </c>
      <c r="C163" s="5">
        <v>20250826152733</v>
      </c>
      <c r="D163" s="5" t="str">
        <f t="shared" si="13"/>
        <v>20250826</v>
      </c>
      <c r="E163" s="6" t="s">
        <v>5</v>
      </c>
      <c r="F163" s="5">
        <v>880428</v>
      </c>
      <c r="G163" s="7" t="str">
        <f t="shared" si="14"/>
        <v>88歳04ヶ月28日</v>
      </c>
      <c r="I163" s="3" t="str">
        <f t="shared" si="10"/>
        <v>○</v>
      </c>
      <c r="J163" s="4" t="str">
        <f t="shared" si="11"/>
        <v/>
      </c>
    </row>
    <row r="164" spans="1:10" x14ac:dyDescent="0.15">
      <c r="A164" s="5">
        <v>20250826180600</v>
      </c>
      <c r="B164" s="5" t="str">
        <f t="shared" si="12"/>
        <v>20250826</v>
      </c>
      <c r="C164" s="5">
        <v>20250826174146</v>
      </c>
      <c r="D164" s="5" t="str">
        <f t="shared" si="13"/>
        <v>20250826</v>
      </c>
      <c r="E164" s="6" t="s">
        <v>4</v>
      </c>
      <c r="F164" s="5">
        <v>330721</v>
      </c>
      <c r="G164" s="7" t="str">
        <f t="shared" si="14"/>
        <v>33歳07ヶ月21日</v>
      </c>
      <c r="I164" s="3" t="str">
        <f t="shared" si="10"/>
        <v>○</v>
      </c>
      <c r="J164" s="4" t="str">
        <f t="shared" si="11"/>
        <v/>
      </c>
    </row>
    <row r="165" spans="1:10" x14ac:dyDescent="0.15">
      <c r="A165" s="5">
        <v>20250826230800</v>
      </c>
      <c r="B165" s="5" t="str">
        <f t="shared" si="12"/>
        <v>20250826</v>
      </c>
      <c r="C165" s="5">
        <v>20250826222637</v>
      </c>
      <c r="D165" s="5" t="str">
        <f t="shared" si="13"/>
        <v>20250826</v>
      </c>
      <c r="E165" s="6" t="s">
        <v>4</v>
      </c>
      <c r="F165" s="5">
        <v>490406</v>
      </c>
      <c r="G165" s="7" t="str">
        <f t="shared" si="14"/>
        <v>49歳04ヶ月06日</v>
      </c>
      <c r="I165" s="3" t="str">
        <f t="shared" si="10"/>
        <v>○</v>
      </c>
      <c r="J165" s="4" t="str">
        <f t="shared" si="11"/>
        <v/>
      </c>
    </row>
    <row r="166" spans="1:10" x14ac:dyDescent="0.15">
      <c r="A166" s="5">
        <v>20250826230800</v>
      </c>
      <c r="B166" s="5" t="str">
        <f t="shared" si="12"/>
        <v>20250826</v>
      </c>
      <c r="C166" s="5">
        <v>20250712093705</v>
      </c>
      <c r="D166" s="5" t="str">
        <f t="shared" si="13"/>
        <v>20250712</v>
      </c>
      <c r="E166" s="6" t="s">
        <v>4</v>
      </c>
      <c r="F166" s="5">
        <v>490406</v>
      </c>
      <c r="G166" s="7" t="str">
        <f t="shared" si="14"/>
        <v>49歳04ヶ月06日</v>
      </c>
      <c r="I166" s="3" t="str">
        <f t="shared" si="10"/>
        <v/>
      </c>
      <c r="J166" s="4" t="str">
        <f t="shared" si="11"/>
        <v>○</v>
      </c>
    </row>
    <row r="167" spans="1:10" x14ac:dyDescent="0.15">
      <c r="A167" s="5">
        <v>20250827091900</v>
      </c>
      <c r="B167" s="5" t="str">
        <f t="shared" si="12"/>
        <v>20250827</v>
      </c>
      <c r="C167" s="5">
        <v>20250815114736</v>
      </c>
      <c r="D167" s="5" t="str">
        <f t="shared" si="13"/>
        <v>20250815</v>
      </c>
      <c r="E167" s="6" t="s">
        <v>5</v>
      </c>
      <c r="F167" s="5">
        <v>751022</v>
      </c>
      <c r="G167" s="7" t="str">
        <f t="shared" si="14"/>
        <v>75歳10ヶ月22日</v>
      </c>
      <c r="I167" s="3" t="str">
        <f t="shared" si="10"/>
        <v/>
      </c>
      <c r="J167" s="4" t="str">
        <f t="shared" si="11"/>
        <v>○</v>
      </c>
    </row>
    <row r="168" spans="1:10" x14ac:dyDescent="0.15">
      <c r="A168" s="5">
        <v>20250827092500</v>
      </c>
      <c r="B168" s="5" t="str">
        <f t="shared" si="12"/>
        <v>20250827</v>
      </c>
      <c r="C168" s="5">
        <v>20250826160908</v>
      </c>
      <c r="D168" s="5" t="str">
        <f t="shared" si="13"/>
        <v>20250826</v>
      </c>
      <c r="E168" s="6" t="s">
        <v>5</v>
      </c>
      <c r="F168" s="5">
        <v>810519</v>
      </c>
      <c r="G168" s="7" t="str">
        <f t="shared" si="14"/>
        <v>81歳05ヶ月19日</v>
      </c>
      <c r="I168" s="3" t="str">
        <f t="shared" si="10"/>
        <v/>
      </c>
      <c r="J168" s="4" t="str">
        <f t="shared" si="11"/>
        <v>○</v>
      </c>
    </row>
    <row r="169" spans="1:10" x14ac:dyDescent="0.15">
      <c r="A169" s="5">
        <v>20250827105900</v>
      </c>
      <c r="B169" s="5" t="str">
        <f t="shared" si="12"/>
        <v>20250827</v>
      </c>
      <c r="C169" s="5">
        <v>20250827101840</v>
      </c>
      <c r="D169" s="5" t="str">
        <f t="shared" si="13"/>
        <v>20250827</v>
      </c>
      <c r="E169" s="6" t="s">
        <v>5</v>
      </c>
      <c r="F169" s="5">
        <v>670201</v>
      </c>
      <c r="G169" s="7" t="str">
        <f t="shared" si="14"/>
        <v>67歳02ヶ月01日</v>
      </c>
      <c r="I169" s="3" t="str">
        <f t="shared" si="10"/>
        <v>○</v>
      </c>
      <c r="J169" s="4" t="str">
        <f t="shared" si="11"/>
        <v/>
      </c>
    </row>
    <row r="170" spans="1:10" x14ac:dyDescent="0.15">
      <c r="A170" s="5">
        <v>20250827113600</v>
      </c>
      <c r="B170" s="5" t="str">
        <f t="shared" si="12"/>
        <v>20250827</v>
      </c>
      <c r="C170" s="5">
        <v>20250827103301</v>
      </c>
      <c r="D170" s="5" t="str">
        <f t="shared" si="13"/>
        <v>20250827</v>
      </c>
      <c r="E170" s="6" t="s">
        <v>4</v>
      </c>
      <c r="F170" s="5">
        <v>920616</v>
      </c>
      <c r="G170" s="7" t="str">
        <f t="shared" si="14"/>
        <v>92歳06ヶ月16日</v>
      </c>
      <c r="I170" s="3" t="str">
        <f t="shared" si="10"/>
        <v>○</v>
      </c>
      <c r="J170" s="4" t="str">
        <f t="shared" si="11"/>
        <v/>
      </c>
    </row>
    <row r="171" spans="1:10" x14ac:dyDescent="0.15">
      <c r="A171" s="5">
        <v>20250827135900</v>
      </c>
      <c r="B171" s="5" t="str">
        <f t="shared" si="12"/>
        <v>20250827</v>
      </c>
      <c r="C171" s="5">
        <v>20250827080927</v>
      </c>
      <c r="D171" s="5" t="str">
        <f t="shared" si="13"/>
        <v>20250827</v>
      </c>
      <c r="E171" s="6" t="s">
        <v>5</v>
      </c>
      <c r="F171" s="5">
        <v>910814</v>
      </c>
      <c r="G171" s="7" t="str">
        <f t="shared" si="14"/>
        <v>91歳08ヶ月14日</v>
      </c>
      <c r="I171" s="3" t="str">
        <f t="shared" si="10"/>
        <v>○</v>
      </c>
      <c r="J171" s="4" t="str">
        <f t="shared" si="11"/>
        <v/>
      </c>
    </row>
    <row r="172" spans="1:10" x14ac:dyDescent="0.15">
      <c r="A172" s="5">
        <v>20250827170100</v>
      </c>
      <c r="B172" s="5" t="str">
        <f t="shared" si="12"/>
        <v>20250827</v>
      </c>
      <c r="C172" s="5">
        <v>20250724100314</v>
      </c>
      <c r="D172" s="5" t="str">
        <f t="shared" si="13"/>
        <v>20250724</v>
      </c>
      <c r="E172" s="6" t="s">
        <v>4</v>
      </c>
      <c r="F172" s="5">
        <v>610105</v>
      </c>
      <c r="G172" s="7" t="str">
        <f t="shared" si="14"/>
        <v>61歳01ヶ月05日</v>
      </c>
      <c r="I172" s="3" t="str">
        <f t="shared" si="10"/>
        <v/>
      </c>
      <c r="J172" s="4" t="str">
        <f t="shared" si="11"/>
        <v>○</v>
      </c>
    </row>
    <row r="173" spans="1:10" x14ac:dyDescent="0.15">
      <c r="A173" s="5">
        <v>20250827170100</v>
      </c>
      <c r="B173" s="5" t="str">
        <f t="shared" si="12"/>
        <v>20250827</v>
      </c>
      <c r="C173" s="5">
        <v>20250827165307</v>
      </c>
      <c r="D173" s="5" t="str">
        <f t="shared" si="13"/>
        <v>20250827</v>
      </c>
      <c r="E173" s="6" t="s">
        <v>4</v>
      </c>
      <c r="F173" s="5">
        <v>610105</v>
      </c>
      <c r="G173" s="7" t="str">
        <f t="shared" si="14"/>
        <v>61歳01ヶ月05日</v>
      </c>
      <c r="I173" s="3" t="str">
        <f t="shared" si="10"/>
        <v>○</v>
      </c>
      <c r="J173" s="4" t="str">
        <f t="shared" si="11"/>
        <v/>
      </c>
    </row>
    <row r="174" spans="1:10" x14ac:dyDescent="0.15">
      <c r="A174" s="5">
        <v>20250828100300</v>
      </c>
      <c r="B174" s="5" t="str">
        <f t="shared" si="12"/>
        <v>20250828</v>
      </c>
      <c r="C174" s="5">
        <v>20250805115310</v>
      </c>
      <c r="D174" s="5" t="str">
        <f t="shared" si="13"/>
        <v>20250805</v>
      </c>
      <c r="E174" s="6" t="s">
        <v>5</v>
      </c>
      <c r="F174" s="5">
        <v>750000</v>
      </c>
      <c r="G174" s="7" t="str">
        <f t="shared" si="14"/>
        <v>75歳00ヶ月00日</v>
      </c>
      <c r="I174" s="3" t="str">
        <f t="shared" si="10"/>
        <v/>
      </c>
      <c r="J174" s="4" t="str">
        <f t="shared" si="11"/>
        <v>○</v>
      </c>
    </row>
    <row r="175" spans="1:10" x14ac:dyDescent="0.15">
      <c r="A175" s="5">
        <v>20250828100300</v>
      </c>
      <c r="B175" s="5" t="str">
        <f t="shared" si="12"/>
        <v>20250828</v>
      </c>
      <c r="C175" s="5">
        <v>20250827103352</v>
      </c>
      <c r="D175" s="5" t="str">
        <f t="shared" si="13"/>
        <v>20250827</v>
      </c>
      <c r="E175" s="6" t="s">
        <v>5</v>
      </c>
      <c r="F175" s="5">
        <v>750000</v>
      </c>
      <c r="G175" s="7" t="str">
        <f t="shared" si="14"/>
        <v>75歳00ヶ月00日</v>
      </c>
      <c r="I175" s="3" t="str">
        <f t="shared" si="10"/>
        <v/>
      </c>
      <c r="J175" s="4" t="str">
        <f t="shared" si="11"/>
        <v>○</v>
      </c>
    </row>
    <row r="176" spans="1:10" x14ac:dyDescent="0.15">
      <c r="A176" s="5">
        <v>20250828135000</v>
      </c>
      <c r="B176" s="5" t="str">
        <f t="shared" si="12"/>
        <v>20250828</v>
      </c>
      <c r="C176" s="5">
        <v>20250828123029</v>
      </c>
      <c r="D176" s="5" t="str">
        <f t="shared" si="13"/>
        <v>20250828</v>
      </c>
      <c r="E176" s="6" t="s">
        <v>4</v>
      </c>
      <c r="F176" s="5">
        <v>741100</v>
      </c>
      <c r="G176" s="7" t="str">
        <f t="shared" si="14"/>
        <v>74歳11ヶ月00日</v>
      </c>
      <c r="I176" s="3" t="str">
        <f t="shared" si="10"/>
        <v>○</v>
      </c>
      <c r="J176" s="4" t="str">
        <f t="shared" si="11"/>
        <v/>
      </c>
    </row>
    <row r="177" spans="1:10" x14ac:dyDescent="0.15">
      <c r="A177" s="5">
        <v>20250828163000</v>
      </c>
      <c r="B177" s="5" t="str">
        <f t="shared" si="12"/>
        <v>20250828</v>
      </c>
      <c r="C177" s="5">
        <v>20250818131802</v>
      </c>
      <c r="D177" s="5" t="str">
        <f t="shared" si="13"/>
        <v>20250818</v>
      </c>
      <c r="E177" s="6" t="s">
        <v>5</v>
      </c>
      <c r="F177" s="5">
        <v>331022</v>
      </c>
      <c r="G177" s="7" t="str">
        <f t="shared" si="14"/>
        <v>33歳10ヶ月22日</v>
      </c>
      <c r="I177" s="3" t="str">
        <f t="shared" si="10"/>
        <v/>
      </c>
      <c r="J177" s="4" t="str">
        <f t="shared" si="11"/>
        <v>○</v>
      </c>
    </row>
    <row r="178" spans="1:10" x14ac:dyDescent="0.15">
      <c r="A178" s="5">
        <v>20250828170000</v>
      </c>
      <c r="B178" s="5" t="str">
        <f t="shared" si="12"/>
        <v>20250828</v>
      </c>
      <c r="C178" s="5">
        <v>20250828161257</v>
      </c>
      <c r="D178" s="5" t="str">
        <f t="shared" si="13"/>
        <v>20250828</v>
      </c>
      <c r="E178" s="6" t="s">
        <v>4</v>
      </c>
      <c r="F178" s="5">
        <v>650000</v>
      </c>
      <c r="G178" s="7" t="str">
        <f t="shared" si="14"/>
        <v>65歳00ヶ月00日</v>
      </c>
      <c r="I178" s="3" t="str">
        <f t="shared" si="10"/>
        <v>○</v>
      </c>
      <c r="J178" s="4" t="str">
        <f t="shared" si="11"/>
        <v/>
      </c>
    </row>
    <row r="179" spans="1:10" x14ac:dyDescent="0.15">
      <c r="A179" s="5">
        <v>20250828175100</v>
      </c>
      <c r="B179" s="5" t="str">
        <f t="shared" si="12"/>
        <v>20250828</v>
      </c>
      <c r="C179" s="5">
        <v>20250828130301</v>
      </c>
      <c r="D179" s="5" t="str">
        <f t="shared" si="13"/>
        <v>20250828</v>
      </c>
      <c r="E179" s="6" t="s">
        <v>5</v>
      </c>
      <c r="F179" s="5">
        <v>570405</v>
      </c>
      <c r="G179" s="7" t="str">
        <f t="shared" si="14"/>
        <v>57歳04ヶ月05日</v>
      </c>
      <c r="I179" s="3" t="str">
        <f t="shared" si="10"/>
        <v>○</v>
      </c>
      <c r="J179" s="4" t="str">
        <f t="shared" si="11"/>
        <v/>
      </c>
    </row>
    <row r="180" spans="1:10" x14ac:dyDescent="0.15">
      <c r="A180" s="5">
        <v>20250829120700</v>
      </c>
      <c r="B180" s="5" t="str">
        <f t="shared" si="12"/>
        <v>20250829</v>
      </c>
      <c r="C180" s="5">
        <v>20250826084400</v>
      </c>
      <c r="D180" s="5" t="str">
        <f t="shared" si="13"/>
        <v>20250826</v>
      </c>
      <c r="E180" s="6" t="s">
        <v>4</v>
      </c>
      <c r="F180" s="5">
        <v>571130</v>
      </c>
      <c r="G180" s="7" t="str">
        <f t="shared" si="14"/>
        <v>57歳11ヶ月30日</v>
      </c>
      <c r="I180" s="3" t="str">
        <f t="shared" si="10"/>
        <v/>
      </c>
      <c r="J180" s="4" t="str">
        <f t="shared" si="11"/>
        <v>○</v>
      </c>
    </row>
    <row r="181" spans="1:10" x14ac:dyDescent="0.15">
      <c r="A181" s="5">
        <v>20250829130500</v>
      </c>
      <c r="B181" s="5" t="str">
        <f t="shared" si="12"/>
        <v>20250829</v>
      </c>
      <c r="C181" s="5">
        <v>20250829124517</v>
      </c>
      <c r="D181" s="5" t="str">
        <f t="shared" si="13"/>
        <v>20250829</v>
      </c>
      <c r="E181" s="6" t="s">
        <v>5</v>
      </c>
      <c r="F181" s="5">
        <v>860003</v>
      </c>
      <c r="G181" s="7" t="str">
        <f t="shared" si="14"/>
        <v>86歳00ヶ月03日</v>
      </c>
      <c r="I181" s="3" t="str">
        <f t="shared" si="10"/>
        <v>○</v>
      </c>
      <c r="J181" s="4" t="str">
        <f t="shared" si="11"/>
        <v/>
      </c>
    </row>
    <row r="182" spans="1:10" x14ac:dyDescent="0.15">
      <c r="A182" s="5">
        <v>20250829140300</v>
      </c>
      <c r="B182" s="5" t="str">
        <f t="shared" si="12"/>
        <v>20250829</v>
      </c>
      <c r="C182" s="5">
        <v>20250829135059</v>
      </c>
      <c r="D182" s="5" t="str">
        <f t="shared" si="13"/>
        <v>20250829</v>
      </c>
      <c r="E182" s="6" t="s">
        <v>4</v>
      </c>
      <c r="F182" s="5">
        <v>920317</v>
      </c>
      <c r="G182" s="7" t="str">
        <f t="shared" si="14"/>
        <v>92歳03ヶ月17日</v>
      </c>
      <c r="I182" s="3" t="str">
        <f t="shared" si="10"/>
        <v>○</v>
      </c>
      <c r="J182" s="4" t="str">
        <f t="shared" si="11"/>
        <v/>
      </c>
    </row>
    <row r="183" spans="1:10" x14ac:dyDescent="0.15">
      <c r="A183" s="5">
        <v>20250829155900</v>
      </c>
      <c r="B183" s="5" t="str">
        <f t="shared" si="12"/>
        <v>20250829</v>
      </c>
      <c r="C183" s="5">
        <v>20250829143316</v>
      </c>
      <c r="D183" s="5" t="str">
        <f t="shared" si="13"/>
        <v>20250829</v>
      </c>
      <c r="E183" s="6" t="s">
        <v>5</v>
      </c>
      <c r="F183" s="5">
        <v>750318</v>
      </c>
      <c r="G183" s="7" t="str">
        <f t="shared" si="14"/>
        <v>75歳03ヶ月18日</v>
      </c>
      <c r="I183" s="3" t="str">
        <f t="shared" si="10"/>
        <v>○</v>
      </c>
      <c r="J183" s="4" t="str">
        <f t="shared" si="11"/>
        <v/>
      </c>
    </row>
    <row r="184" spans="1:10" x14ac:dyDescent="0.15">
      <c r="A184" s="5">
        <v>20250829170000</v>
      </c>
      <c r="B184" s="5" t="str">
        <f t="shared" si="12"/>
        <v>20250829</v>
      </c>
      <c r="C184" s="5">
        <v>20250829160027</v>
      </c>
      <c r="D184" s="5" t="str">
        <f t="shared" si="13"/>
        <v>20250829</v>
      </c>
      <c r="E184" s="6" t="s">
        <v>5</v>
      </c>
      <c r="F184" s="5">
        <v>510110</v>
      </c>
      <c r="G184" s="7" t="str">
        <f t="shared" si="14"/>
        <v>51歳01ヶ月10日</v>
      </c>
      <c r="I184" s="3" t="str">
        <f t="shared" si="10"/>
        <v>○</v>
      </c>
      <c r="J184" s="4" t="str">
        <f t="shared" si="11"/>
        <v/>
      </c>
    </row>
    <row r="185" spans="1:10" x14ac:dyDescent="0.15">
      <c r="A185" s="5">
        <v>20250830112000</v>
      </c>
      <c r="B185" s="5" t="str">
        <f t="shared" si="12"/>
        <v>20250830</v>
      </c>
      <c r="C185" s="5">
        <v>20250830100950</v>
      </c>
      <c r="D185" s="5" t="str">
        <f t="shared" si="13"/>
        <v>20250830</v>
      </c>
      <c r="E185" s="6" t="s">
        <v>5</v>
      </c>
      <c r="F185" s="5">
        <v>850626</v>
      </c>
      <c r="G185" s="7" t="str">
        <f t="shared" si="14"/>
        <v>85歳06ヶ月26日</v>
      </c>
      <c r="I185" s="3" t="str">
        <f t="shared" si="10"/>
        <v>○</v>
      </c>
      <c r="J185" s="4" t="str">
        <f t="shared" si="11"/>
        <v/>
      </c>
    </row>
    <row r="186" spans="1:10" x14ac:dyDescent="0.15">
      <c r="A186" s="5">
        <v>20250831194900</v>
      </c>
      <c r="B186" s="5" t="str">
        <f t="shared" si="12"/>
        <v>20250831</v>
      </c>
      <c r="C186" s="5">
        <v>20250831200126</v>
      </c>
      <c r="D186" s="5" t="str">
        <f t="shared" si="13"/>
        <v>20250831</v>
      </c>
      <c r="E186" s="6" t="s">
        <v>4</v>
      </c>
      <c r="F186" s="5">
        <v>900521</v>
      </c>
      <c r="G186" s="7" t="str">
        <f t="shared" si="14"/>
        <v>90歳05ヶ月21日</v>
      </c>
      <c r="I186" s="3" t="str">
        <f t="shared" si="10"/>
        <v>○</v>
      </c>
      <c r="J186" s="4" t="str">
        <f t="shared" si="11"/>
        <v/>
      </c>
    </row>
  </sheetData>
  <autoFilter ref="A1:G186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クエリ_オーダ_移動【2025年8月】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2025-08-31T22:15:38Z</dcterms:created>
  <dcterms:modified xsi:type="dcterms:W3CDTF">2026-04-17T00:53:28Z</dcterms:modified>
</cp:coreProperties>
</file>